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GI\IIES220BDC_UEST\NET - Prototipo\Prototipo Estrangeiros\"/>
    </mc:Choice>
  </mc:AlternateContent>
  <xr:revisionPtr revIDLastSave="0" documentId="13_ncr:1_{34C622F4-7A1F-4526-B49F-9019F9DE5B59}" xr6:coauthVersionLast="47" xr6:coauthVersionMax="47" xr10:uidLastSave="{00000000-0000-0000-0000-000000000000}"/>
  <bookViews>
    <workbookView xWindow="-120" yWindow="-120" windowWidth="29040" windowHeight="15720" xr2:uid="{CE07B641-1317-4DC9-9E5F-2F47C5C63785}"/>
  </bookViews>
  <sheets>
    <sheet name="INDICE" sheetId="18" r:id="rId1"/>
    <sheet name="Q1" sheetId="4" r:id="rId2"/>
    <sheet name="Q2" sheetId="7" r:id="rId3"/>
    <sheet name="Q3" sheetId="3" r:id="rId4"/>
    <sheet name="Q4" sheetId="13" r:id="rId5"/>
    <sheet name="Q5" sheetId="17" r:id="rId6"/>
    <sheet name="Q6" sheetId="14" r:id="rId7"/>
    <sheet name="Q7" sheetId="5" r:id="rId8"/>
    <sheet name="Q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9" l="1"/>
  <c r="A30" i="5"/>
  <c r="A30" i="14"/>
  <c r="A23" i="17"/>
  <c r="A30" i="13"/>
  <c r="A30" i="3"/>
  <c r="A23" i="7"/>
</calcChain>
</file>

<file path=xl/sharedStrings.xml><?xml version="1.0" encoding="utf-8"?>
<sst xmlns="http://schemas.openxmlformats.org/spreadsheetml/2006/main" count="219" uniqueCount="54">
  <si>
    <t>LISBOA</t>
  </si>
  <si>
    <t>RA MADEIRA</t>
  </si>
  <si>
    <t>TOTAL</t>
  </si>
  <si>
    <t>LEIRIA</t>
  </si>
  <si>
    <t>VIANA DO CASTELO</t>
  </si>
  <si>
    <t>SANTARÉM</t>
  </si>
  <si>
    <t>PORTO</t>
  </si>
  <si>
    <t>BEJA</t>
  </si>
  <si>
    <t>AVEIRO</t>
  </si>
  <si>
    <t>SETÚBAL</t>
  </si>
  <si>
    <t>VILA REAL</t>
  </si>
  <si>
    <t>VISEU</t>
  </si>
  <si>
    <t>BRAGA</t>
  </si>
  <si>
    <t>ÉVORA</t>
  </si>
  <si>
    <t>PORTALEGRE</t>
  </si>
  <si>
    <t>GUARDA</t>
  </si>
  <si>
    <t>RA AÇORES</t>
  </si>
  <si>
    <t>CASTELO BRANCO</t>
  </si>
  <si>
    <t>BRAGANÇA</t>
  </si>
  <si>
    <t>FARO</t>
  </si>
  <si>
    <t>COIMBRA</t>
  </si>
  <si>
    <t>OUTRO</t>
  </si>
  <si>
    <t>Nota</t>
  </si>
  <si>
    <t>Dados sujeitos a actualizações</t>
  </si>
  <si>
    <t>50 a 59 anos</t>
  </si>
  <si>
    <t>40 a 49 anos</t>
  </si>
  <si>
    <t>60 ou mais anos</t>
  </si>
  <si>
    <t>20 a 29 anos</t>
  </si>
  <si>
    <t>Menos 20 anos</t>
  </si>
  <si>
    <t>30 a 39 anos</t>
  </si>
  <si>
    <t>por distrito de residência e ano de referência da remuneração</t>
  </si>
  <si>
    <t>por sexo, escalão etário e ano de referência da remuneração</t>
  </si>
  <si>
    <t>Masculino</t>
  </si>
  <si>
    <t>Feminino</t>
  </si>
  <si>
    <t>Total</t>
  </si>
  <si>
    <t xml:space="preserve">NOVAS INSCRIÇÕES NA SEGURANÇA SOCIAL DE PESSOAS DE NACIONALIDADE ESTRANGEIRA </t>
  </si>
  <si>
    <t>por distrito de residência e ano de inscrição</t>
  </si>
  <si>
    <t>PESSOAS DE NACIONALIDADE ESTRANGEIRA COM PRESTAÇÕES PAGAS PELA SEGURANÇA SOCIAL</t>
  </si>
  <si>
    <t>PESSOAS DE NACIONALIDADE ESTRANGEIRA COM CONTRIBUIÇÕES PAGAS À SEGURANÇA SOCIAL</t>
  </si>
  <si>
    <t>VALOR DAS CONTRIBUIÇÕES PAGAS À SEGURANÇA SOCIAL POR PESSOAS DE NACIONALIDADE ESTRANGEIRA</t>
  </si>
  <si>
    <t>VALOR DAS PRESTAÇÕES PAGAS PELA SEGURANÇA SOCIAL A PESSOAS DE NACIONALIDADE ESTRANGEIRA</t>
  </si>
  <si>
    <t>por sexo, escalão etário e ano de referência da prestação</t>
  </si>
  <si>
    <t>por distrito de residência e ano de referência da prestação</t>
  </si>
  <si>
    <t>INDICE</t>
  </si>
  <si>
    <t>Q1</t>
  </si>
  <si>
    <t>Q2</t>
  </si>
  <si>
    <t>Q3</t>
  </si>
  <si>
    <t>Q4</t>
  </si>
  <si>
    <t>Q5</t>
  </si>
  <si>
    <t>Q6</t>
  </si>
  <si>
    <t>Q7</t>
  </si>
  <si>
    <t>Q8</t>
  </si>
  <si>
    <t>por sexo, escalão etário e ano de inscrição</t>
  </si>
  <si>
    <t>Situação da base de dados em 7/fevereiro/2026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</si>
</sst>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3" tint="0.499984740745262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/>
    <xf numFmtId="0" fontId="5" fillId="0" borderId="1" xfId="0" applyFont="1" applyBorder="1" applyAlignment="1">
      <alignment horizontal="right" vertical="center"/>
    </xf>
    <xf numFmtId="3" fontId="6" fillId="0" borderId="1" xfId="0" applyNumberFormat="1" applyFont="1" applyBorder="1"/>
    <xf numFmtId="0" fontId="3" fillId="0" borderId="0" xfId="0" applyFont="1"/>
    <xf numFmtId="0" fontId="6" fillId="0" borderId="0" xfId="0" applyFont="1"/>
    <xf numFmtId="44" fontId="6" fillId="0" borderId="1" xfId="1" applyFont="1" applyBorder="1"/>
    <xf numFmtId="3" fontId="3" fillId="0" borderId="1" xfId="0" applyNumberFormat="1" applyFont="1" applyBorder="1"/>
    <xf numFmtId="0" fontId="2" fillId="0" borderId="0" xfId="0" applyFont="1"/>
    <xf numFmtId="0" fontId="4" fillId="2" borderId="1" xfId="0" applyFont="1" applyFill="1" applyBorder="1"/>
    <xf numFmtId="3" fontId="4" fillId="2" borderId="1" xfId="0" applyNumberFormat="1" applyFont="1" applyFill="1" applyBorder="1"/>
    <xf numFmtId="0" fontId="7" fillId="0" borderId="0" xfId="0" applyFont="1"/>
    <xf numFmtId="44" fontId="4" fillId="2" borderId="1" xfId="1" applyFont="1" applyFill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164" fontId="0" fillId="0" borderId="0" xfId="2" applyNumberFormat="1" applyFont="1"/>
    <xf numFmtId="10" fontId="0" fillId="0" borderId="0" xfId="2" applyNumberFormat="1" applyFont="1"/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40CA-1574-411F-9A1A-564FA1E8DC90}">
  <dimension ref="A1:B25"/>
  <sheetViews>
    <sheetView showGridLines="0" tabSelected="1" workbookViewId="0"/>
  </sheetViews>
  <sheetFormatPr defaultRowHeight="15" x14ac:dyDescent="0.25"/>
  <cols>
    <col min="1" max="1" width="7.85546875" style="14" customWidth="1"/>
    <col min="2" max="2" width="9.140625" style="14"/>
  </cols>
  <sheetData>
    <row r="1" spans="1:2" x14ac:dyDescent="0.25">
      <c r="A1" s="13" t="s">
        <v>43</v>
      </c>
    </row>
    <row r="3" spans="1:2" x14ac:dyDescent="0.25">
      <c r="A3" s="15" t="s">
        <v>44</v>
      </c>
      <c r="B3" s="15" t="s">
        <v>38</v>
      </c>
    </row>
    <row r="4" spans="1:2" x14ac:dyDescent="0.25">
      <c r="B4" s="16" t="s">
        <v>30</v>
      </c>
    </row>
    <row r="6" spans="1:2" x14ac:dyDescent="0.25">
      <c r="A6" s="15" t="s">
        <v>45</v>
      </c>
      <c r="B6" s="15" t="s">
        <v>38</v>
      </c>
    </row>
    <row r="7" spans="1:2" x14ac:dyDescent="0.25">
      <c r="A7" s="15"/>
      <c r="B7" s="16" t="s">
        <v>31</v>
      </c>
    </row>
    <row r="8" spans="1:2" x14ac:dyDescent="0.25">
      <c r="A8" s="15"/>
    </row>
    <row r="9" spans="1:2" x14ac:dyDescent="0.25">
      <c r="A9" s="15" t="s">
        <v>46</v>
      </c>
      <c r="B9" s="15" t="s">
        <v>39</v>
      </c>
    </row>
    <row r="10" spans="1:2" x14ac:dyDescent="0.25">
      <c r="A10" s="15"/>
      <c r="B10" s="16" t="s">
        <v>30</v>
      </c>
    </row>
    <row r="11" spans="1:2" x14ac:dyDescent="0.25">
      <c r="A11" s="15"/>
    </row>
    <row r="12" spans="1:2" x14ac:dyDescent="0.25">
      <c r="A12" s="15" t="s">
        <v>47</v>
      </c>
      <c r="B12" s="15" t="s">
        <v>37</v>
      </c>
    </row>
    <row r="13" spans="1:2" x14ac:dyDescent="0.25">
      <c r="A13" s="15"/>
      <c r="B13" s="16" t="s">
        <v>42</v>
      </c>
    </row>
    <row r="14" spans="1:2" x14ac:dyDescent="0.25">
      <c r="A14" s="15"/>
    </row>
    <row r="15" spans="1:2" x14ac:dyDescent="0.25">
      <c r="A15" s="15" t="s">
        <v>48</v>
      </c>
      <c r="B15" s="15" t="s">
        <v>37</v>
      </c>
    </row>
    <row r="16" spans="1:2" x14ac:dyDescent="0.25">
      <c r="A16" s="15"/>
      <c r="B16" s="16" t="s">
        <v>41</v>
      </c>
    </row>
    <row r="17" spans="1:2" x14ac:dyDescent="0.25">
      <c r="A17" s="15"/>
    </row>
    <row r="18" spans="1:2" x14ac:dyDescent="0.25">
      <c r="A18" s="15" t="s">
        <v>49</v>
      </c>
      <c r="B18" s="15" t="s">
        <v>40</v>
      </c>
    </row>
    <row r="19" spans="1:2" x14ac:dyDescent="0.25">
      <c r="A19" s="15"/>
      <c r="B19" s="16" t="s">
        <v>42</v>
      </c>
    </row>
    <row r="20" spans="1:2" x14ac:dyDescent="0.25">
      <c r="A20" s="15"/>
    </row>
    <row r="21" spans="1:2" x14ac:dyDescent="0.25">
      <c r="A21" s="15" t="s">
        <v>50</v>
      </c>
      <c r="B21" s="15" t="s">
        <v>35</v>
      </c>
    </row>
    <row r="22" spans="1:2" x14ac:dyDescent="0.25">
      <c r="A22" s="15"/>
      <c r="B22" s="16" t="s">
        <v>36</v>
      </c>
    </row>
    <row r="23" spans="1:2" x14ac:dyDescent="0.25">
      <c r="A23" s="15"/>
    </row>
    <row r="24" spans="1:2" x14ac:dyDescent="0.25">
      <c r="A24" s="15" t="s">
        <v>51</v>
      </c>
      <c r="B24" s="15" t="s">
        <v>35</v>
      </c>
    </row>
    <row r="25" spans="1:2" x14ac:dyDescent="0.25">
      <c r="B25" s="1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6E96-D0BD-47C5-AC8E-14F7C117BE0C}">
  <dimension ref="A1:L31"/>
  <sheetViews>
    <sheetView showGridLines="0" workbookViewId="0"/>
  </sheetViews>
  <sheetFormatPr defaultRowHeight="15" x14ac:dyDescent="0.25"/>
  <cols>
    <col min="1" max="1" width="19.85546875" customWidth="1"/>
    <col min="2" max="12" width="10.42578125" customWidth="1"/>
  </cols>
  <sheetData>
    <row r="1" spans="1:12" x14ac:dyDescent="0.25">
      <c r="A1" s="11" t="s">
        <v>38</v>
      </c>
    </row>
    <row r="2" spans="1:12" x14ac:dyDescent="0.25">
      <c r="A2" s="11" t="s">
        <v>30</v>
      </c>
    </row>
    <row r="5" spans="1:12" x14ac:dyDescent="0.25">
      <c r="B5" s="2">
        <v>2015</v>
      </c>
      <c r="C5" s="2">
        <v>2016</v>
      </c>
      <c r="D5" s="2">
        <v>2017</v>
      </c>
      <c r="E5" s="2">
        <v>2018</v>
      </c>
      <c r="F5" s="2">
        <v>2019</v>
      </c>
      <c r="G5" s="2">
        <v>2020</v>
      </c>
      <c r="H5" s="2">
        <v>2021</v>
      </c>
      <c r="I5" s="2">
        <v>2022</v>
      </c>
      <c r="J5" s="2">
        <v>2023</v>
      </c>
      <c r="K5" s="2">
        <v>2024</v>
      </c>
      <c r="L5" s="2">
        <v>2025</v>
      </c>
    </row>
    <row r="6" spans="1:12" x14ac:dyDescent="0.25">
      <c r="A6" s="1" t="s">
        <v>8</v>
      </c>
      <c r="B6" s="3">
        <v>4935</v>
      </c>
      <c r="C6" s="3">
        <v>5110</v>
      </c>
      <c r="D6" s="3">
        <v>5799</v>
      </c>
      <c r="E6" s="3">
        <v>7825</v>
      </c>
      <c r="F6" s="3">
        <v>11786</v>
      </c>
      <c r="G6" s="3">
        <v>13393</v>
      </c>
      <c r="H6" s="3">
        <v>15480</v>
      </c>
      <c r="I6" s="3">
        <v>25808</v>
      </c>
      <c r="J6" s="3">
        <v>35847</v>
      </c>
      <c r="K6" s="3">
        <v>42317</v>
      </c>
      <c r="L6" s="3">
        <v>45457</v>
      </c>
    </row>
    <row r="7" spans="1:12" x14ac:dyDescent="0.25">
      <c r="A7" s="1" t="s">
        <v>7</v>
      </c>
      <c r="B7" s="3">
        <v>6313</v>
      </c>
      <c r="C7" s="3">
        <v>6694</v>
      </c>
      <c r="D7" s="3">
        <v>8122</v>
      </c>
      <c r="E7" s="3">
        <v>11682</v>
      </c>
      <c r="F7" s="3">
        <v>17292</v>
      </c>
      <c r="G7" s="3">
        <v>19437</v>
      </c>
      <c r="H7" s="3">
        <v>23053</v>
      </c>
      <c r="I7" s="3">
        <v>38172</v>
      </c>
      <c r="J7" s="3">
        <v>47487</v>
      </c>
      <c r="K7" s="3">
        <v>40071</v>
      </c>
      <c r="L7" s="3">
        <v>35357</v>
      </c>
    </row>
    <row r="8" spans="1:12" x14ac:dyDescent="0.25">
      <c r="A8" s="1" t="s">
        <v>12</v>
      </c>
      <c r="B8" s="3">
        <v>3646</v>
      </c>
      <c r="C8" s="3">
        <v>3863</v>
      </c>
      <c r="D8" s="3">
        <v>4840</v>
      </c>
      <c r="E8" s="3">
        <v>7266</v>
      </c>
      <c r="F8" s="3">
        <v>11999</v>
      </c>
      <c r="G8" s="3">
        <v>14035</v>
      </c>
      <c r="H8" s="3">
        <v>16519</v>
      </c>
      <c r="I8" s="3">
        <v>27875</v>
      </c>
      <c r="J8" s="3">
        <v>37240</v>
      </c>
      <c r="K8" s="3">
        <v>43756</v>
      </c>
      <c r="L8" s="3">
        <v>48792</v>
      </c>
    </row>
    <row r="9" spans="1:12" x14ac:dyDescent="0.25">
      <c r="A9" s="1" t="s">
        <v>18</v>
      </c>
      <c r="B9" s="3">
        <v>991</v>
      </c>
      <c r="C9" s="3">
        <v>980</v>
      </c>
      <c r="D9" s="3">
        <v>1024</v>
      </c>
      <c r="E9" s="3">
        <v>1281</v>
      </c>
      <c r="F9" s="3">
        <v>1926</v>
      </c>
      <c r="G9" s="3">
        <v>1896</v>
      </c>
      <c r="H9" s="3">
        <v>2455</v>
      </c>
      <c r="I9" s="3">
        <v>3564</v>
      </c>
      <c r="J9" s="3">
        <v>4793</v>
      </c>
      <c r="K9" s="3">
        <v>5742</v>
      </c>
      <c r="L9" s="3">
        <v>6360</v>
      </c>
    </row>
    <row r="10" spans="1:12" x14ac:dyDescent="0.25">
      <c r="A10" s="1" t="s">
        <v>17</v>
      </c>
      <c r="B10" s="3">
        <v>1097</v>
      </c>
      <c r="C10" s="3">
        <v>1076</v>
      </c>
      <c r="D10" s="3">
        <v>1185</v>
      </c>
      <c r="E10" s="3">
        <v>1564</v>
      </c>
      <c r="F10" s="3">
        <v>2414</v>
      </c>
      <c r="G10" s="3">
        <v>2871</v>
      </c>
      <c r="H10" s="3">
        <v>3913</v>
      </c>
      <c r="I10" s="3">
        <v>6648</v>
      </c>
      <c r="J10" s="3">
        <v>9980</v>
      </c>
      <c r="K10" s="3">
        <v>11729</v>
      </c>
      <c r="L10" s="3">
        <v>12620</v>
      </c>
    </row>
    <row r="11" spans="1:12" x14ac:dyDescent="0.25">
      <c r="A11" s="1" t="s">
        <v>20</v>
      </c>
      <c r="B11" s="3">
        <v>3460</v>
      </c>
      <c r="C11" s="3">
        <v>3471</v>
      </c>
      <c r="D11" s="3">
        <v>3912</v>
      </c>
      <c r="E11" s="3">
        <v>4756</v>
      </c>
      <c r="F11" s="3">
        <v>6767</v>
      </c>
      <c r="G11" s="3">
        <v>7723</v>
      </c>
      <c r="H11" s="3">
        <v>9092</v>
      </c>
      <c r="I11" s="3">
        <v>14622</v>
      </c>
      <c r="J11" s="3">
        <v>20935</v>
      </c>
      <c r="K11" s="3">
        <v>25115</v>
      </c>
      <c r="L11" s="3">
        <v>27431</v>
      </c>
    </row>
    <row r="12" spans="1:12" x14ac:dyDescent="0.25">
      <c r="A12" s="1" t="s">
        <v>13</v>
      </c>
      <c r="B12" s="3">
        <v>1694</v>
      </c>
      <c r="C12" s="3">
        <v>1630</v>
      </c>
      <c r="D12" s="3">
        <v>1665</v>
      </c>
      <c r="E12" s="3">
        <v>2018</v>
      </c>
      <c r="F12" s="3">
        <v>3040</v>
      </c>
      <c r="G12" s="3">
        <v>3163</v>
      </c>
      <c r="H12" s="3">
        <v>3699</v>
      </c>
      <c r="I12" s="3">
        <v>5937</v>
      </c>
      <c r="J12" s="3">
        <v>9239</v>
      </c>
      <c r="K12" s="3">
        <v>10658</v>
      </c>
      <c r="L12" s="3">
        <v>10595</v>
      </c>
    </row>
    <row r="13" spans="1:12" x14ac:dyDescent="0.25">
      <c r="A13" s="1" t="s">
        <v>19</v>
      </c>
      <c r="B13" s="3">
        <v>26507</v>
      </c>
      <c r="C13" s="3">
        <v>27667</v>
      </c>
      <c r="D13" s="3">
        <v>32025</v>
      </c>
      <c r="E13" s="3">
        <v>40518</v>
      </c>
      <c r="F13" s="3">
        <v>51998</v>
      </c>
      <c r="G13" s="3">
        <v>51380</v>
      </c>
      <c r="H13" s="3">
        <v>55034</v>
      </c>
      <c r="I13" s="3">
        <v>73982</v>
      </c>
      <c r="J13" s="3">
        <v>85127</v>
      </c>
      <c r="K13" s="3">
        <v>95574</v>
      </c>
      <c r="L13" s="3">
        <v>97924</v>
      </c>
    </row>
    <row r="14" spans="1:12" x14ac:dyDescent="0.25">
      <c r="A14" s="1" t="s">
        <v>15</v>
      </c>
      <c r="B14" s="3">
        <v>766</v>
      </c>
      <c r="C14" s="3">
        <v>758</v>
      </c>
      <c r="D14" s="3">
        <v>807</v>
      </c>
      <c r="E14" s="3">
        <v>904</v>
      </c>
      <c r="F14" s="3">
        <v>1170</v>
      </c>
      <c r="G14" s="3">
        <v>1300</v>
      </c>
      <c r="H14" s="3">
        <v>1557</v>
      </c>
      <c r="I14" s="3">
        <v>2243</v>
      </c>
      <c r="J14" s="3">
        <v>3576</v>
      </c>
      <c r="K14" s="3">
        <v>4916</v>
      </c>
      <c r="L14" s="3">
        <v>5110</v>
      </c>
    </row>
    <row r="15" spans="1:12" x14ac:dyDescent="0.25">
      <c r="A15" s="1" t="s">
        <v>3</v>
      </c>
      <c r="B15" s="3">
        <v>6598</v>
      </c>
      <c r="C15" s="3">
        <v>6691</v>
      </c>
      <c r="D15" s="3">
        <v>7177</v>
      </c>
      <c r="E15" s="3">
        <v>9101</v>
      </c>
      <c r="F15" s="3">
        <v>13106</v>
      </c>
      <c r="G15" s="3">
        <v>15386</v>
      </c>
      <c r="H15" s="3">
        <v>17795</v>
      </c>
      <c r="I15" s="3">
        <v>28292</v>
      </c>
      <c r="J15" s="3">
        <v>40040</v>
      </c>
      <c r="K15" s="3">
        <v>48149</v>
      </c>
      <c r="L15" s="3">
        <v>49957</v>
      </c>
    </row>
    <row r="16" spans="1:12" x14ac:dyDescent="0.25">
      <c r="A16" s="1" t="s">
        <v>0</v>
      </c>
      <c r="B16" s="3">
        <v>99457</v>
      </c>
      <c r="C16" s="3">
        <v>106803</v>
      </c>
      <c r="D16" s="3">
        <v>119419</v>
      </c>
      <c r="E16" s="3">
        <v>140763</v>
      </c>
      <c r="F16" s="3">
        <v>178114</v>
      </c>
      <c r="G16" s="3">
        <v>194513</v>
      </c>
      <c r="H16" s="3">
        <v>206497</v>
      </c>
      <c r="I16" s="3">
        <v>273479</v>
      </c>
      <c r="J16" s="3">
        <v>331193</v>
      </c>
      <c r="K16" s="3">
        <v>374935</v>
      </c>
      <c r="L16" s="3">
        <v>399133</v>
      </c>
    </row>
    <row r="17" spans="1:12" x14ac:dyDescent="0.25">
      <c r="A17" s="1" t="s">
        <v>14</v>
      </c>
      <c r="B17" s="3">
        <v>1154</v>
      </c>
      <c r="C17" s="3">
        <v>1111</v>
      </c>
      <c r="D17" s="3">
        <v>1160</v>
      </c>
      <c r="E17" s="3">
        <v>1257</v>
      </c>
      <c r="F17" s="3">
        <v>1550</v>
      </c>
      <c r="G17" s="3">
        <v>1601</v>
      </c>
      <c r="H17" s="3">
        <v>1787</v>
      </c>
      <c r="I17" s="3">
        <v>2703</v>
      </c>
      <c r="J17" s="3">
        <v>4439</v>
      </c>
      <c r="K17" s="3">
        <v>5895</v>
      </c>
      <c r="L17" s="3">
        <v>5591</v>
      </c>
    </row>
    <row r="18" spans="1:12" x14ac:dyDescent="0.25">
      <c r="A18" s="1" t="s">
        <v>6</v>
      </c>
      <c r="B18" s="3">
        <v>11463</v>
      </c>
      <c r="C18" s="3">
        <v>12100</v>
      </c>
      <c r="D18" s="3">
        <v>14493</v>
      </c>
      <c r="E18" s="3">
        <v>20554</v>
      </c>
      <c r="F18" s="3">
        <v>32380</v>
      </c>
      <c r="G18" s="3">
        <v>37394</v>
      </c>
      <c r="H18" s="3">
        <v>42485</v>
      </c>
      <c r="I18" s="3">
        <v>67937</v>
      </c>
      <c r="J18" s="3">
        <v>95022</v>
      </c>
      <c r="K18" s="3">
        <v>117221</v>
      </c>
      <c r="L18" s="3">
        <v>126252</v>
      </c>
    </row>
    <row r="19" spans="1:12" x14ac:dyDescent="0.25">
      <c r="A19" s="1" t="s">
        <v>5</v>
      </c>
      <c r="B19" s="3">
        <v>5961</v>
      </c>
      <c r="C19" s="3">
        <v>5901</v>
      </c>
      <c r="D19" s="3">
        <v>6257</v>
      </c>
      <c r="E19" s="3">
        <v>7655</v>
      </c>
      <c r="F19" s="3">
        <v>10868</v>
      </c>
      <c r="G19" s="3">
        <v>12502</v>
      </c>
      <c r="H19" s="3">
        <v>14475</v>
      </c>
      <c r="I19" s="3">
        <v>22001</v>
      </c>
      <c r="J19" s="3">
        <v>30850</v>
      </c>
      <c r="K19" s="3">
        <v>37903</v>
      </c>
      <c r="L19" s="3">
        <v>41869</v>
      </c>
    </row>
    <row r="20" spans="1:12" x14ac:dyDescent="0.25">
      <c r="A20" s="1" t="s">
        <v>9</v>
      </c>
      <c r="B20" s="3">
        <v>19332</v>
      </c>
      <c r="C20" s="3">
        <v>20086</v>
      </c>
      <c r="D20" s="3">
        <v>22688</v>
      </c>
      <c r="E20" s="3">
        <v>28201</v>
      </c>
      <c r="F20" s="3">
        <v>39218</v>
      </c>
      <c r="G20" s="3">
        <v>46354</v>
      </c>
      <c r="H20" s="3">
        <v>50604</v>
      </c>
      <c r="I20" s="3">
        <v>68915</v>
      </c>
      <c r="J20" s="3">
        <v>92335</v>
      </c>
      <c r="K20" s="3">
        <v>114451</v>
      </c>
      <c r="L20" s="3">
        <v>130048</v>
      </c>
    </row>
    <row r="21" spans="1:12" x14ac:dyDescent="0.25">
      <c r="A21" s="1" t="s">
        <v>4</v>
      </c>
      <c r="B21" s="3">
        <v>1246</v>
      </c>
      <c r="C21" s="3">
        <v>1268</v>
      </c>
      <c r="D21" s="3">
        <v>1511</v>
      </c>
      <c r="E21" s="3">
        <v>2165</v>
      </c>
      <c r="F21" s="3">
        <v>3624</v>
      </c>
      <c r="G21" s="3">
        <v>4323</v>
      </c>
      <c r="H21" s="3">
        <v>5361</v>
      </c>
      <c r="I21" s="3">
        <v>9412</v>
      </c>
      <c r="J21" s="3">
        <v>13278</v>
      </c>
      <c r="K21" s="3">
        <v>15108</v>
      </c>
      <c r="L21" s="3">
        <v>15813</v>
      </c>
    </row>
    <row r="22" spans="1:12" x14ac:dyDescent="0.25">
      <c r="A22" s="1" t="s">
        <v>10</v>
      </c>
      <c r="B22" s="3">
        <v>758</v>
      </c>
      <c r="C22" s="3">
        <v>726</v>
      </c>
      <c r="D22" s="3">
        <v>842</v>
      </c>
      <c r="E22" s="3">
        <v>954</v>
      </c>
      <c r="F22" s="3">
        <v>1326</v>
      </c>
      <c r="G22" s="3">
        <v>1485</v>
      </c>
      <c r="H22" s="3">
        <v>1593</v>
      </c>
      <c r="I22" s="3">
        <v>2752</v>
      </c>
      <c r="J22" s="3">
        <v>4414</v>
      </c>
      <c r="K22" s="3">
        <v>5622</v>
      </c>
      <c r="L22" s="3">
        <v>6141</v>
      </c>
    </row>
    <row r="23" spans="1:12" x14ac:dyDescent="0.25">
      <c r="A23" s="1" t="s">
        <v>11</v>
      </c>
      <c r="B23" s="3">
        <v>1808</v>
      </c>
      <c r="C23" s="3">
        <v>1754</v>
      </c>
      <c r="D23" s="3">
        <v>1895</v>
      </c>
      <c r="E23" s="3">
        <v>2354</v>
      </c>
      <c r="F23" s="3">
        <v>3673</v>
      </c>
      <c r="G23" s="3">
        <v>4334</v>
      </c>
      <c r="H23" s="3">
        <v>5024</v>
      </c>
      <c r="I23" s="3">
        <v>8879</v>
      </c>
      <c r="J23" s="3">
        <v>13265</v>
      </c>
      <c r="K23" s="3">
        <v>16854</v>
      </c>
      <c r="L23" s="3">
        <v>19340</v>
      </c>
    </row>
    <row r="24" spans="1:12" x14ac:dyDescent="0.25">
      <c r="A24" s="1" t="s">
        <v>16</v>
      </c>
      <c r="B24" s="3">
        <v>1139</v>
      </c>
      <c r="C24" s="3">
        <v>1192</v>
      </c>
      <c r="D24" s="3">
        <v>1291</v>
      </c>
      <c r="E24" s="3">
        <v>1471</v>
      </c>
      <c r="F24" s="3">
        <v>1758</v>
      </c>
      <c r="G24" s="3">
        <v>1712</v>
      </c>
      <c r="H24" s="3">
        <v>1904</v>
      </c>
      <c r="I24" s="3">
        <v>2603</v>
      </c>
      <c r="J24" s="3">
        <v>3442</v>
      </c>
      <c r="K24" s="3">
        <v>4358</v>
      </c>
      <c r="L24" s="3">
        <v>5321</v>
      </c>
    </row>
    <row r="25" spans="1:12" x14ac:dyDescent="0.25">
      <c r="A25" s="1" t="s">
        <v>1</v>
      </c>
      <c r="B25" s="3">
        <v>1900</v>
      </c>
      <c r="C25" s="3">
        <v>1949</v>
      </c>
      <c r="D25" s="3">
        <v>2243</v>
      </c>
      <c r="E25" s="3">
        <v>2653</v>
      </c>
      <c r="F25" s="3">
        <v>3210</v>
      </c>
      <c r="G25" s="3">
        <v>3206</v>
      </c>
      <c r="H25" s="3">
        <v>3345</v>
      </c>
      <c r="I25" s="3">
        <v>4740</v>
      </c>
      <c r="J25" s="3">
        <v>7387</v>
      </c>
      <c r="K25" s="3">
        <v>9756</v>
      </c>
      <c r="L25" s="3">
        <v>11261</v>
      </c>
    </row>
    <row r="26" spans="1:12" x14ac:dyDescent="0.25">
      <c r="A26" s="1" t="s">
        <v>21</v>
      </c>
      <c r="B26" s="3">
        <v>3925</v>
      </c>
      <c r="C26" s="3">
        <v>5047</v>
      </c>
      <c r="D26" s="3">
        <v>6578</v>
      </c>
      <c r="E26" s="3">
        <v>8133</v>
      </c>
      <c r="F26" s="3">
        <v>8091</v>
      </c>
      <c r="G26" s="3">
        <v>7413</v>
      </c>
      <c r="H26" s="3">
        <v>7815</v>
      </c>
      <c r="I26" s="3">
        <v>8635</v>
      </c>
      <c r="J26" s="3">
        <v>14468</v>
      </c>
      <c r="K26" s="3">
        <v>18044</v>
      </c>
      <c r="L26" s="3">
        <v>15169</v>
      </c>
    </row>
    <row r="27" spans="1:12" x14ac:dyDescent="0.25">
      <c r="A27" s="9" t="s">
        <v>2</v>
      </c>
      <c r="B27" s="10">
        <v>204150</v>
      </c>
      <c r="C27" s="10">
        <v>215877</v>
      </c>
      <c r="D27" s="10">
        <v>244933</v>
      </c>
      <c r="E27" s="10">
        <v>303075</v>
      </c>
      <c r="F27" s="10">
        <v>405310</v>
      </c>
      <c r="G27" s="10">
        <v>445421</v>
      </c>
      <c r="H27" s="10">
        <v>489487</v>
      </c>
      <c r="I27" s="10">
        <v>699199</v>
      </c>
      <c r="J27" s="10">
        <v>904357</v>
      </c>
      <c r="K27" s="10">
        <v>1048174</v>
      </c>
      <c r="L27" s="10">
        <v>1115541</v>
      </c>
    </row>
    <row r="29" spans="1:12" x14ac:dyDescent="0.25">
      <c r="A29" s="4" t="s">
        <v>22</v>
      </c>
      <c r="L29" s="22"/>
    </row>
    <row r="30" spans="1:12" x14ac:dyDescent="0.25">
      <c r="A30" s="5" t="s">
        <v>53</v>
      </c>
    </row>
    <row r="31" spans="1:12" x14ac:dyDescent="0.25">
      <c r="A31" s="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276D-ABAC-421F-8814-5B777741FDBA}">
  <dimension ref="A1:M24"/>
  <sheetViews>
    <sheetView showGridLines="0" workbookViewId="0">
      <selection activeCell="M6" sqref="M6"/>
    </sheetView>
  </sheetViews>
  <sheetFormatPr defaultRowHeight="15" x14ac:dyDescent="0.25"/>
  <cols>
    <col min="1" max="1" width="10.7109375" customWidth="1"/>
    <col min="2" max="2" width="20.85546875" customWidth="1"/>
    <col min="3" max="13" width="10.5703125" customWidth="1"/>
  </cols>
  <sheetData>
    <row r="1" spans="1:13" x14ac:dyDescent="0.25">
      <c r="A1" s="11" t="s">
        <v>38</v>
      </c>
    </row>
    <row r="2" spans="1:13" x14ac:dyDescent="0.25">
      <c r="A2" s="11" t="s">
        <v>31</v>
      </c>
    </row>
    <row r="5" spans="1:13" x14ac:dyDescent="0.25">
      <c r="C5" s="2">
        <v>2015</v>
      </c>
      <c r="D5" s="2">
        <v>2016</v>
      </c>
      <c r="E5" s="2">
        <v>2017</v>
      </c>
      <c r="F5" s="2">
        <v>2018</v>
      </c>
      <c r="G5" s="2">
        <v>2019</v>
      </c>
      <c r="H5" s="2">
        <v>2020</v>
      </c>
      <c r="I5" s="2">
        <v>2021</v>
      </c>
      <c r="J5" s="2">
        <v>2022</v>
      </c>
      <c r="K5" s="2">
        <v>2023</v>
      </c>
      <c r="L5" s="2">
        <v>2024</v>
      </c>
      <c r="M5" s="2">
        <v>2025</v>
      </c>
    </row>
    <row r="6" spans="1:13" x14ac:dyDescent="0.25">
      <c r="A6" s="17" t="s">
        <v>33</v>
      </c>
      <c r="B6" s="1" t="s">
        <v>28</v>
      </c>
      <c r="C6" s="3">
        <v>1187</v>
      </c>
      <c r="D6" s="3">
        <v>1339</v>
      </c>
      <c r="E6" s="3">
        <v>1670</v>
      </c>
      <c r="F6" s="3">
        <v>2106</v>
      </c>
      <c r="G6" s="3">
        <v>2756</v>
      </c>
      <c r="H6" s="3">
        <v>1801</v>
      </c>
      <c r="I6" s="3">
        <v>2224</v>
      </c>
      <c r="J6" s="3">
        <v>4366</v>
      </c>
      <c r="K6" s="3">
        <v>5439</v>
      </c>
      <c r="L6" s="3">
        <v>5088</v>
      </c>
      <c r="M6" s="3">
        <v>4875</v>
      </c>
    </row>
    <row r="7" spans="1:13" x14ac:dyDescent="0.25">
      <c r="A7" s="18"/>
      <c r="B7" s="1" t="s">
        <v>27</v>
      </c>
      <c r="C7" s="3">
        <v>22386</v>
      </c>
      <c r="D7" s="3">
        <v>23614</v>
      </c>
      <c r="E7" s="3">
        <v>27666</v>
      </c>
      <c r="F7" s="3">
        <v>35045</v>
      </c>
      <c r="G7" s="3">
        <v>46721</v>
      </c>
      <c r="H7" s="3">
        <v>48510</v>
      </c>
      <c r="I7" s="3">
        <v>51926</v>
      </c>
      <c r="J7" s="3">
        <v>76242</v>
      </c>
      <c r="K7" s="3">
        <v>98940</v>
      </c>
      <c r="L7" s="3">
        <v>110853</v>
      </c>
      <c r="M7" s="3">
        <v>114580</v>
      </c>
    </row>
    <row r="8" spans="1:13" x14ac:dyDescent="0.25">
      <c r="A8" s="18"/>
      <c r="B8" s="1" t="s">
        <v>29</v>
      </c>
      <c r="C8" s="3">
        <v>29896</v>
      </c>
      <c r="D8" s="3">
        <v>30335</v>
      </c>
      <c r="E8" s="3">
        <v>33984</v>
      </c>
      <c r="F8" s="3">
        <v>41458</v>
      </c>
      <c r="G8" s="3">
        <v>55402</v>
      </c>
      <c r="H8" s="3">
        <v>60334</v>
      </c>
      <c r="I8" s="3">
        <v>63855</v>
      </c>
      <c r="J8" s="3">
        <v>87316</v>
      </c>
      <c r="K8" s="3">
        <v>112228</v>
      </c>
      <c r="L8" s="3">
        <v>132030</v>
      </c>
      <c r="M8" s="3">
        <v>145805</v>
      </c>
    </row>
    <row r="9" spans="1:13" x14ac:dyDescent="0.25">
      <c r="A9" s="18"/>
      <c r="B9" s="1" t="s">
        <v>25</v>
      </c>
      <c r="C9" s="3">
        <v>23529</v>
      </c>
      <c r="D9" s="3">
        <v>23974</v>
      </c>
      <c r="E9" s="3">
        <v>26148</v>
      </c>
      <c r="F9" s="3">
        <v>30069</v>
      </c>
      <c r="G9" s="3">
        <v>38718</v>
      </c>
      <c r="H9" s="3">
        <v>41906</v>
      </c>
      <c r="I9" s="3">
        <v>44658</v>
      </c>
      <c r="J9" s="3">
        <v>59076</v>
      </c>
      <c r="K9" s="3">
        <v>74569</v>
      </c>
      <c r="L9" s="3">
        <v>86312</v>
      </c>
      <c r="M9" s="3">
        <v>96199</v>
      </c>
    </row>
    <row r="10" spans="1:13" x14ac:dyDescent="0.25">
      <c r="A10" s="18"/>
      <c r="B10" s="1" t="s">
        <v>24</v>
      </c>
      <c r="C10" s="3">
        <v>12504</v>
      </c>
      <c r="D10" s="3">
        <v>13100</v>
      </c>
      <c r="E10" s="3">
        <v>14523</v>
      </c>
      <c r="F10" s="3">
        <v>16418</v>
      </c>
      <c r="G10" s="3">
        <v>19940</v>
      </c>
      <c r="H10" s="3">
        <v>21259</v>
      </c>
      <c r="I10" s="3">
        <v>22499</v>
      </c>
      <c r="J10" s="3">
        <v>29160</v>
      </c>
      <c r="K10" s="3">
        <v>35685</v>
      </c>
      <c r="L10" s="3">
        <v>40933</v>
      </c>
      <c r="M10" s="3">
        <v>45528</v>
      </c>
    </row>
    <row r="11" spans="1:13" x14ac:dyDescent="0.25">
      <c r="A11" s="18"/>
      <c r="B11" s="1" t="s">
        <v>26</v>
      </c>
      <c r="C11" s="3">
        <v>2994</v>
      </c>
      <c r="D11" s="3">
        <v>3352</v>
      </c>
      <c r="E11" s="3">
        <v>3854</v>
      </c>
      <c r="F11" s="3">
        <v>4438</v>
      </c>
      <c r="G11" s="3">
        <v>5476</v>
      </c>
      <c r="H11" s="3">
        <v>5944</v>
      </c>
      <c r="I11" s="3">
        <v>6597</v>
      </c>
      <c r="J11" s="3">
        <v>8336</v>
      </c>
      <c r="K11" s="3">
        <v>10315</v>
      </c>
      <c r="L11" s="3">
        <v>12235</v>
      </c>
      <c r="M11" s="3">
        <v>14011</v>
      </c>
    </row>
    <row r="12" spans="1:13" s="8" customFormat="1" x14ac:dyDescent="0.25">
      <c r="A12" s="18"/>
      <c r="B12" s="1" t="s">
        <v>34</v>
      </c>
      <c r="C12" s="7">
        <v>92496</v>
      </c>
      <c r="D12" s="7">
        <v>95714</v>
      </c>
      <c r="E12" s="7">
        <v>107845</v>
      </c>
      <c r="F12" s="7">
        <v>129534</v>
      </c>
      <c r="G12" s="7">
        <v>169013</v>
      </c>
      <c r="H12" s="7">
        <v>179754</v>
      </c>
      <c r="I12" s="7">
        <v>191759</v>
      </c>
      <c r="J12" s="7">
        <v>264496</v>
      </c>
      <c r="K12" s="7">
        <v>337176</v>
      </c>
      <c r="L12" s="7">
        <v>387451</v>
      </c>
      <c r="M12" s="7">
        <v>420998</v>
      </c>
    </row>
    <row r="13" spans="1:13" x14ac:dyDescent="0.25">
      <c r="A13" s="17" t="s">
        <v>32</v>
      </c>
      <c r="B13" s="1" t="s">
        <v>28</v>
      </c>
      <c r="C13" s="3">
        <v>1602</v>
      </c>
      <c r="D13" s="3">
        <v>1768</v>
      </c>
      <c r="E13" s="3">
        <v>2274</v>
      </c>
      <c r="F13" s="3">
        <v>3015</v>
      </c>
      <c r="G13" s="3">
        <v>3955</v>
      </c>
      <c r="H13" s="3">
        <v>2738</v>
      </c>
      <c r="I13" s="3">
        <v>3031</v>
      </c>
      <c r="J13" s="3">
        <v>5734</v>
      </c>
      <c r="K13" s="3">
        <v>6708</v>
      </c>
      <c r="L13" s="3">
        <v>6242</v>
      </c>
      <c r="M13" s="3">
        <v>5981</v>
      </c>
    </row>
    <row r="14" spans="1:13" x14ac:dyDescent="0.25">
      <c r="A14" s="18"/>
      <c r="B14" s="1" t="s">
        <v>27</v>
      </c>
      <c r="C14" s="3">
        <v>29610</v>
      </c>
      <c r="D14" s="3">
        <v>32968</v>
      </c>
      <c r="E14" s="3">
        <v>38817</v>
      </c>
      <c r="F14" s="3">
        <v>52130</v>
      </c>
      <c r="G14" s="3">
        <v>74691</v>
      </c>
      <c r="H14" s="3">
        <v>82953</v>
      </c>
      <c r="I14" s="3">
        <v>91115</v>
      </c>
      <c r="J14" s="3">
        <v>139220</v>
      </c>
      <c r="K14" s="3">
        <v>182550</v>
      </c>
      <c r="L14" s="3">
        <v>202506</v>
      </c>
      <c r="M14" s="3">
        <v>196164</v>
      </c>
    </row>
    <row r="15" spans="1:13" x14ac:dyDescent="0.25">
      <c r="A15" s="18"/>
      <c r="B15" s="1" t="s">
        <v>29</v>
      </c>
      <c r="C15" s="3">
        <v>36235</v>
      </c>
      <c r="D15" s="3">
        <v>38816</v>
      </c>
      <c r="E15" s="3">
        <v>43994</v>
      </c>
      <c r="F15" s="3">
        <v>56935</v>
      </c>
      <c r="G15" s="3">
        <v>79933</v>
      </c>
      <c r="H15" s="3">
        <v>93709</v>
      </c>
      <c r="I15" s="3">
        <v>107536</v>
      </c>
      <c r="J15" s="3">
        <v>159812</v>
      </c>
      <c r="K15" s="3">
        <v>212520</v>
      </c>
      <c r="L15" s="3">
        <v>254236</v>
      </c>
      <c r="M15" s="3">
        <v>271690</v>
      </c>
    </row>
    <row r="16" spans="1:13" x14ac:dyDescent="0.25">
      <c r="A16" s="18"/>
      <c r="B16" s="1" t="s">
        <v>25</v>
      </c>
      <c r="C16" s="3">
        <v>26962</v>
      </c>
      <c r="D16" s="3">
        <v>27972</v>
      </c>
      <c r="E16" s="3">
        <v>30898</v>
      </c>
      <c r="F16" s="3">
        <v>36925</v>
      </c>
      <c r="G16" s="3">
        <v>47868</v>
      </c>
      <c r="H16" s="3">
        <v>53941</v>
      </c>
      <c r="I16" s="3">
        <v>60492</v>
      </c>
      <c r="J16" s="3">
        <v>85295</v>
      </c>
      <c r="K16" s="3">
        <v>111490</v>
      </c>
      <c r="L16" s="3">
        <v>135168</v>
      </c>
      <c r="M16" s="3">
        <v>150953</v>
      </c>
    </row>
    <row r="17" spans="1:13" x14ac:dyDescent="0.25">
      <c r="A17" s="18"/>
      <c r="B17" s="1" t="s">
        <v>24</v>
      </c>
      <c r="C17" s="3">
        <v>13697</v>
      </c>
      <c r="D17" s="3">
        <v>14533</v>
      </c>
      <c r="E17" s="3">
        <v>16207</v>
      </c>
      <c r="F17" s="3">
        <v>18761</v>
      </c>
      <c r="G17" s="3">
        <v>22749</v>
      </c>
      <c r="H17" s="3">
        <v>24488</v>
      </c>
      <c r="I17" s="3">
        <v>26889</v>
      </c>
      <c r="J17" s="3">
        <v>34181</v>
      </c>
      <c r="K17" s="3">
        <v>41406</v>
      </c>
      <c r="L17" s="3">
        <v>48291</v>
      </c>
      <c r="M17" s="3">
        <v>53848</v>
      </c>
    </row>
    <row r="18" spans="1:13" x14ac:dyDescent="0.25">
      <c r="A18" s="18"/>
      <c r="B18" s="1" t="s">
        <v>26</v>
      </c>
      <c r="C18" s="3">
        <v>3548</v>
      </c>
      <c r="D18" s="3">
        <v>4106</v>
      </c>
      <c r="E18" s="3">
        <v>4898</v>
      </c>
      <c r="F18" s="3">
        <v>5775</v>
      </c>
      <c r="G18" s="3">
        <v>7101</v>
      </c>
      <c r="H18" s="3">
        <v>7838</v>
      </c>
      <c r="I18" s="3">
        <v>8665</v>
      </c>
      <c r="J18" s="3">
        <v>10461</v>
      </c>
      <c r="K18" s="3">
        <v>12507</v>
      </c>
      <c r="L18" s="3">
        <v>14280</v>
      </c>
      <c r="M18" s="3">
        <v>15907</v>
      </c>
    </row>
    <row r="19" spans="1:13" s="8" customFormat="1" x14ac:dyDescent="0.25">
      <c r="A19" s="18"/>
      <c r="B19" s="1" t="s">
        <v>34</v>
      </c>
      <c r="C19" s="7">
        <v>111654</v>
      </c>
      <c r="D19" s="7">
        <v>120163</v>
      </c>
      <c r="E19" s="7">
        <v>137088</v>
      </c>
      <c r="F19" s="7">
        <v>173541</v>
      </c>
      <c r="G19" s="7">
        <v>236297</v>
      </c>
      <c r="H19" s="7">
        <v>265667</v>
      </c>
      <c r="I19" s="7">
        <v>297728</v>
      </c>
      <c r="J19" s="7">
        <v>434703</v>
      </c>
      <c r="K19" s="7">
        <v>567181</v>
      </c>
      <c r="L19" s="7">
        <v>660723</v>
      </c>
      <c r="M19" s="7">
        <v>694543</v>
      </c>
    </row>
    <row r="20" spans="1:13" x14ac:dyDescent="0.25">
      <c r="A20" s="19" t="s">
        <v>2</v>
      </c>
      <c r="B20" s="20"/>
      <c r="C20" s="10">
        <v>204150</v>
      </c>
      <c r="D20" s="10">
        <v>215877</v>
      </c>
      <c r="E20" s="10">
        <v>244933</v>
      </c>
      <c r="F20" s="10">
        <v>303075</v>
      </c>
      <c r="G20" s="10">
        <v>405310</v>
      </c>
      <c r="H20" s="10">
        <v>445421</v>
      </c>
      <c r="I20" s="10">
        <v>489487</v>
      </c>
      <c r="J20" s="10">
        <v>699199</v>
      </c>
      <c r="K20" s="10">
        <v>904357</v>
      </c>
      <c r="L20" s="10">
        <v>1048174</v>
      </c>
      <c r="M20" s="10">
        <v>1115541</v>
      </c>
    </row>
    <row r="22" spans="1:13" x14ac:dyDescent="0.25">
      <c r="A22" s="4" t="s">
        <v>22</v>
      </c>
    </row>
    <row r="23" spans="1:13" x14ac:dyDescent="0.25">
      <c r="A23" s="5" t="str">
        <f>+'Q1'!A30</f>
        <v>Situação da base de dados em 7/fevereiro/2026</v>
      </c>
    </row>
    <row r="24" spans="1:13" x14ac:dyDescent="0.25">
      <c r="A24" s="5" t="s">
        <v>23</v>
      </c>
    </row>
  </sheetData>
  <mergeCells count="3">
    <mergeCell ref="A6:A12"/>
    <mergeCell ref="A13:A19"/>
    <mergeCell ref="A20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7768-A6E7-483B-8CC8-8391A6EB7F25}">
  <dimension ref="A1:L31"/>
  <sheetViews>
    <sheetView showGridLines="0" workbookViewId="0"/>
  </sheetViews>
  <sheetFormatPr defaultRowHeight="15" x14ac:dyDescent="0.25"/>
  <cols>
    <col min="1" max="1" width="24.42578125" bestFit="1" customWidth="1"/>
    <col min="2" max="12" width="16" customWidth="1"/>
    <col min="13" max="13" width="34" bestFit="1" customWidth="1"/>
    <col min="14" max="14" width="24.42578125" bestFit="1" customWidth="1"/>
    <col min="15" max="15" width="34" bestFit="1" customWidth="1"/>
    <col min="16" max="16" width="24.42578125" bestFit="1" customWidth="1"/>
    <col min="17" max="17" width="34" bestFit="1" customWidth="1"/>
    <col min="18" max="18" width="24.42578125" bestFit="1" customWidth="1"/>
    <col min="19" max="19" width="34" bestFit="1" customWidth="1"/>
    <col min="20" max="20" width="24.42578125" bestFit="1" customWidth="1"/>
    <col min="21" max="21" width="39" bestFit="1" customWidth="1"/>
    <col min="22" max="22" width="29.42578125" bestFit="1" customWidth="1"/>
    <col min="23" max="23" width="39" bestFit="1" customWidth="1"/>
    <col min="24" max="24" width="29.42578125" bestFit="1" customWidth="1"/>
  </cols>
  <sheetData>
    <row r="1" spans="1:12" x14ac:dyDescent="0.25">
      <c r="A1" s="11" t="s">
        <v>39</v>
      </c>
    </row>
    <row r="2" spans="1:12" x14ac:dyDescent="0.25">
      <c r="A2" s="11" t="s">
        <v>30</v>
      </c>
    </row>
    <row r="5" spans="1:12" x14ac:dyDescent="0.25">
      <c r="B5" s="2">
        <v>2015</v>
      </c>
      <c r="C5" s="2">
        <v>2016</v>
      </c>
      <c r="D5" s="2">
        <v>2017</v>
      </c>
      <c r="E5" s="2">
        <v>2018</v>
      </c>
      <c r="F5" s="2">
        <v>2019</v>
      </c>
      <c r="G5" s="2">
        <v>2020</v>
      </c>
      <c r="H5" s="2">
        <v>2021</v>
      </c>
      <c r="I5" s="2">
        <v>2022</v>
      </c>
      <c r="J5" s="2">
        <v>2023</v>
      </c>
      <c r="K5" s="2">
        <v>2024</v>
      </c>
      <c r="L5" s="2">
        <v>2025</v>
      </c>
    </row>
    <row r="6" spans="1:12" x14ac:dyDescent="0.25">
      <c r="A6" s="1" t="s">
        <v>8</v>
      </c>
      <c r="B6" s="6">
        <v>13884034.84041</v>
      </c>
      <c r="C6" s="6">
        <v>14716585.194944</v>
      </c>
      <c r="D6" s="6">
        <v>16895280.043400001</v>
      </c>
      <c r="E6" s="6">
        <v>20811572.875555001</v>
      </c>
      <c r="F6" s="6">
        <v>29247901.308155</v>
      </c>
      <c r="G6" s="6">
        <v>34847479.557185002</v>
      </c>
      <c r="H6" s="6">
        <v>43910574.758644998</v>
      </c>
      <c r="I6" s="6">
        <v>70365224.766424999</v>
      </c>
      <c r="J6" s="6">
        <v>112261218.29714</v>
      </c>
      <c r="K6" s="6">
        <v>150575911.00077</v>
      </c>
      <c r="L6" s="6">
        <v>177472694.26007</v>
      </c>
    </row>
    <row r="7" spans="1:12" x14ac:dyDescent="0.25">
      <c r="A7" s="1" t="s">
        <v>7</v>
      </c>
      <c r="B7" s="6">
        <v>10109802.419819999</v>
      </c>
      <c r="C7" s="6">
        <v>11373687.939144</v>
      </c>
      <c r="D7" s="6">
        <v>14936256.46741</v>
      </c>
      <c r="E7" s="6">
        <v>20135812.795559999</v>
      </c>
      <c r="F7" s="6">
        <v>29728178.919319998</v>
      </c>
      <c r="G7" s="6">
        <v>34891103.189460002</v>
      </c>
      <c r="H7" s="6">
        <v>43723702.390455</v>
      </c>
      <c r="I7" s="6">
        <v>60875824.004199997</v>
      </c>
      <c r="J7" s="6">
        <v>87398399.857710004</v>
      </c>
      <c r="K7" s="6">
        <v>96637102.346285</v>
      </c>
      <c r="L7" s="6">
        <v>102223999.237895</v>
      </c>
    </row>
    <row r="8" spans="1:12" x14ac:dyDescent="0.25">
      <c r="A8" s="1" t="s">
        <v>12</v>
      </c>
      <c r="B8" s="6">
        <v>10176080.773255</v>
      </c>
      <c r="C8" s="6">
        <v>11156795.994240001</v>
      </c>
      <c r="D8" s="6">
        <v>13402245.530844999</v>
      </c>
      <c r="E8" s="6">
        <v>18899661.947234999</v>
      </c>
      <c r="F8" s="6">
        <v>29615511.128205001</v>
      </c>
      <c r="G8" s="6">
        <v>36279889.530955002</v>
      </c>
      <c r="H8" s="6">
        <v>44826067.471375003</v>
      </c>
      <c r="I8" s="6">
        <v>72369066.884770006</v>
      </c>
      <c r="J8" s="6">
        <v>112979481.17129</v>
      </c>
      <c r="K8" s="6">
        <v>149393588.22288501</v>
      </c>
      <c r="L8" s="6">
        <v>182205810.31558001</v>
      </c>
    </row>
    <row r="9" spans="1:12" x14ac:dyDescent="0.25">
      <c r="A9" s="1" t="s">
        <v>18</v>
      </c>
      <c r="B9" s="6">
        <v>2071074.11897</v>
      </c>
      <c r="C9" s="6">
        <v>2065498.651695</v>
      </c>
      <c r="D9" s="6">
        <v>2239217.0752349999</v>
      </c>
      <c r="E9" s="6">
        <v>2595464.2992400001</v>
      </c>
      <c r="F9" s="6">
        <v>3564306.6236299998</v>
      </c>
      <c r="G9" s="6">
        <v>4024795.5972699998</v>
      </c>
      <c r="H9" s="6">
        <v>5048444.4342250004</v>
      </c>
      <c r="I9" s="6">
        <v>7438440.4989200002</v>
      </c>
      <c r="J9" s="6">
        <v>11276774.23285</v>
      </c>
      <c r="K9" s="6">
        <v>15948783.831374999</v>
      </c>
      <c r="L9" s="6">
        <v>19393159.761925001</v>
      </c>
    </row>
    <row r="10" spans="1:12" x14ac:dyDescent="0.25">
      <c r="A10" s="1" t="s">
        <v>17</v>
      </c>
      <c r="B10" s="6">
        <v>2500969.8523749998</v>
      </c>
      <c r="C10" s="6">
        <v>2479719.3974199998</v>
      </c>
      <c r="D10" s="6">
        <v>2639759.72389</v>
      </c>
      <c r="E10" s="6">
        <v>3487491.7882849998</v>
      </c>
      <c r="F10" s="6">
        <v>5299119.5365000004</v>
      </c>
      <c r="G10" s="6">
        <v>6485489.8282899996</v>
      </c>
      <c r="H10" s="6">
        <v>8867968.0064150002</v>
      </c>
      <c r="I10" s="6">
        <v>15215646.274569999</v>
      </c>
      <c r="J10" s="6">
        <v>25866522.716085002</v>
      </c>
      <c r="K10" s="6">
        <v>34767154.121189997</v>
      </c>
      <c r="L10" s="6">
        <v>41702911.793614998</v>
      </c>
    </row>
    <row r="11" spans="1:12" x14ac:dyDescent="0.25">
      <c r="A11" s="1" t="s">
        <v>20</v>
      </c>
      <c r="B11" s="6">
        <v>8032181.6895099999</v>
      </c>
      <c r="C11" s="6">
        <v>8410095.7662599999</v>
      </c>
      <c r="D11" s="6">
        <v>9424351.0300299991</v>
      </c>
      <c r="E11" s="6">
        <v>11196016.814619999</v>
      </c>
      <c r="F11" s="6">
        <v>15459502.135705</v>
      </c>
      <c r="G11" s="6">
        <v>17867653.230385002</v>
      </c>
      <c r="H11" s="6">
        <v>22054499.04276</v>
      </c>
      <c r="I11" s="6">
        <v>33490633.072670002</v>
      </c>
      <c r="J11" s="6">
        <v>54387174.743184999</v>
      </c>
      <c r="K11" s="6">
        <v>75081463.623565003</v>
      </c>
      <c r="L11" s="6">
        <v>92493415.998585001</v>
      </c>
    </row>
    <row r="12" spans="1:12" x14ac:dyDescent="0.25">
      <c r="A12" s="1" t="s">
        <v>13</v>
      </c>
      <c r="B12" s="6">
        <v>3514937.073965</v>
      </c>
      <c r="C12" s="6">
        <v>3561759.4035140001</v>
      </c>
      <c r="D12" s="6">
        <v>4026623.7220450002</v>
      </c>
      <c r="E12" s="6">
        <v>4612257.8216599999</v>
      </c>
      <c r="F12" s="6">
        <v>6385566.3784750002</v>
      </c>
      <c r="G12" s="6">
        <v>7270344.30681</v>
      </c>
      <c r="H12" s="6">
        <v>8959021.1513950005</v>
      </c>
      <c r="I12" s="6">
        <v>14192930.56553</v>
      </c>
      <c r="J12" s="6">
        <v>22816989.158985</v>
      </c>
      <c r="K12" s="6">
        <v>31000543.881515</v>
      </c>
      <c r="L12" s="6">
        <v>36592747.828354999</v>
      </c>
    </row>
    <row r="13" spans="1:12" x14ac:dyDescent="0.25">
      <c r="A13" s="1" t="s">
        <v>19</v>
      </c>
      <c r="B13" s="6">
        <v>56924289.792944998</v>
      </c>
      <c r="C13" s="6">
        <v>62368670.282385997</v>
      </c>
      <c r="D13" s="6">
        <v>74083210.449855</v>
      </c>
      <c r="E13" s="6">
        <v>93967433.308310002</v>
      </c>
      <c r="F13" s="6">
        <v>121510674.72423001</v>
      </c>
      <c r="G13" s="6">
        <v>109568468.340445</v>
      </c>
      <c r="H13" s="6">
        <v>127267331.369965</v>
      </c>
      <c r="I13" s="6">
        <v>185645494.43682501</v>
      </c>
      <c r="J13" s="6">
        <v>243934421.31101501</v>
      </c>
      <c r="K13" s="6">
        <v>305530980.32011998</v>
      </c>
      <c r="L13" s="6">
        <v>347630188.43050498</v>
      </c>
    </row>
    <row r="14" spans="1:12" x14ac:dyDescent="0.25">
      <c r="A14" s="1" t="s">
        <v>15</v>
      </c>
      <c r="B14" s="6">
        <v>1770595.86216</v>
      </c>
      <c r="C14" s="6">
        <v>1799563.886155</v>
      </c>
      <c r="D14" s="6">
        <v>1953236.948505</v>
      </c>
      <c r="E14" s="6">
        <v>2083552.51991</v>
      </c>
      <c r="F14" s="6">
        <v>2576551.3238599999</v>
      </c>
      <c r="G14" s="6">
        <v>2906501.7493050001</v>
      </c>
      <c r="H14" s="6">
        <v>3618017.2276900001</v>
      </c>
      <c r="I14" s="6">
        <v>5314788.2901100004</v>
      </c>
      <c r="J14" s="6">
        <v>9177069.1859499998</v>
      </c>
      <c r="K14" s="6">
        <v>14089269.15384</v>
      </c>
      <c r="L14" s="6">
        <v>16975418.54126</v>
      </c>
    </row>
    <row r="15" spans="1:12" x14ac:dyDescent="0.25">
      <c r="A15" s="1" t="s">
        <v>3</v>
      </c>
      <c r="B15" s="6">
        <v>15425242.389544999</v>
      </c>
      <c r="C15" s="6">
        <v>16374122.400106</v>
      </c>
      <c r="D15" s="6">
        <v>17732970.685695</v>
      </c>
      <c r="E15" s="6">
        <v>21738861.4969</v>
      </c>
      <c r="F15" s="6">
        <v>31289836.265105002</v>
      </c>
      <c r="G15" s="6">
        <v>38087581.853265002</v>
      </c>
      <c r="H15" s="6">
        <v>46419377.061800003</v>
      </c>
      <c r="I15" s="6">
        <v>71031226.585449994</v>
      </c>
      <c r="J15" s="6">
        <v>108384860.67535</v>
      </c>
      <c r="K15" s="6">
        <v>150234731.86556</v>
      </c>
      <c r="L15" s="6">
        <v>178668743.774555</v>
      </c>
    </row>
    <row r="16" spans="1:12" x14ac:dyDescent="0.25">
      <c r="A16" s="1" t="s">
        <v>0</v>
      </c>
      <c r="B16" s="6">
        <v>230518800.53619501</v>
      </c>
      <c r="C16" s="6">
        <v>263298227.668268</v>
      </c>
      <c r="D16" s="6">
        <v>308272428.77086002</v>
      </c>
      <c r="E16" s="6">
        <v>373853149.86460501</v>
      </c>
      <c r="F16" s="6">
        <v>474021265.19582498</v>
      </c>
      <c r="G16" s="6">
        <v>514152981.71841002</v>
      </c>
      <c r="H16" s="6">
        <v>598849771.97944498</v>
      </c>
      <c r="I16" s="6">
        <v>813143058.98063505</v>
      </c>
      <c r="J16" s="6">
        <v>1095438217.2293401</v>
      </c>
      <c r="K16" s="6">
        <v>1350717003.00647</v>
      </c>
      <c r="L16" s="6">
        <v>1546513930.8353901</v>
      </c>
    </row>
    <row r="17" spans="1:12" x14ac:dyDescent="0.25">
      <c r="A17" s="1" t="s">
        <v>14</v>
      </c>
      <c r="B17" s="6">
        <v>2334180.7702700002</v>
      </c>
      <c r="C17" s="6">
        <v>2387784.1090170001</v>
      </c>
      <c r="D17" s="6">
        <v>2510824.6739099999</v>
      </c>
      <c r="E17" s="6">
        <v>2835758.94833</v>
      </c>
      <c r="F17" s="6">
        <v>3702028.6510800002</v>
      </c>
      <c r="G17" s="6">
        <v>3862480.760055</v>
      </c>
      <c r="H17" s="6">
        <v>4565260.9718350004</v>
      </c>
      <c r="I17" s="6">
        <v>6543622.29739</v>
      </c>
      <c r="J17" s="6">
        <v>10002496.08623</v>
      </c>
      <c r="K17" s="6">
        <v>15777916.43165</v>
      </c>
      <c r="L17" s="6">
        <v>17963885.330030002</v>
      </c>
    </row>
    <row r="18" spans="1:12" x14ac:dyDescent="0.25">
      <c r="A18" s="1" t="s">
        <v>6</v>
      </c>
      <c r="B18" s="6">
        <v>38366665.44489</v>
      </c>
      <c r="C18" s="6">
        <v>40343613.318939999</v>
      </c>
      <c r="D18" s="6">
        <v>46932787.459815003</v>
      </c>
      <c r="E18" s="6">
        <v>62593883.595090002</v>
      </c>
      <c r="F18" s="6">
        <v>91721476.132524997</v>
      </c>
      <c r="G18" s="6">
        <v>106970248.979645</v>
      </c>
      <c r="H18" s="6">
        <v>131379142.011925</v>
      </c>
      <c r="I18" s="6">
        <v>208428007.48601499</v>
      </c>
      <c r="J18" s="6">
        <v>320153932.35754502</v>
      </c>
      <c r="K18" s="6">
        <v>428671038.20038998</v>
      </c>
      <c r="L18" s="6">
        <v>509632780.27952498</v>
      </c>
    </row>
    <row r="19" spans="1:12" x14ac:dyDescent="0.25">
      <c r="A19" s="1" t="s">
        <v>5</v>
      </c>
      <c r="B19" s="6">
        <v>12913477.58516</v>
      </c>
      <c r="C19" s="6">
        <v>12800619.189269001</v>
      </c>
      <c r="D19" s="6">
        <v>13946353.957265001</v>
      </c>
      <c r="E19" s="6">
        <v>16814572.042303</v>
      </c>
      <c r="F19" s="6">
        <v>23572306.894145001</v>
      </c>
      <c r="G19" s="6">
        <v>28790021.041395001</v>
      </c>
      <c r="H19" s="6">
        <v>34832828.483450003</v>
      </c>
      <c r="I19" s="6">
        <v>51921651.154990003</v>
      </c>
      <c r="J19" s="6">
        <v>78412838.314355001</v>
      </c>
      <c r="K19" s="6">
        <v>111612018.930465</v>
      </c>
      <c r="L19" s="6">
        <v>138457898.53591499</v>
      </c>
    </row>
    <row r="20" spans="1:12" x14ac:dyDescent="0.25">
      <c r="A20" s="1" t="s">
        <v>9</v>
      </c>
      <c r="B20" s="6">
        <v>40508774.722599998</v>
      </c>
      <c r="C20" s="6">
        <v>43260887.409472004</v>
      </c>
      <c r="D20" s="6">
        <v>50189007.142724998</v>
      </c>
      <c r="E20" s="6">
        <v>63847727.276565</v>
      </c>
      <c r="F20" s="6">
        <v>88826554.011034995</v>
      </c>
      <c r="G20" s="6">
        <v>103463249.467575</v>
      </c>
      <c r="H20" s="6">
        <v>124147942.720965</v>
      </c>
      <c r="I20" s="6">
        <v>177899455.90446001</v>
      </c>
      <c r="J20" s="6">
        <v>263179470.232135</v>
      </c>
      <c r="K20" s="6">
        <v>362020351.12048</v>
      </c>
      <c r="L20" s="6">
        <v>454689502.38270998</v>
      </c>
    </row>
    <row r="21" spans="1:12" x14ac:dyDescent="0.25">
      <c r="A21" s="1" t="s">
        <v>4</v>
      </c>
      <c r="B21" s="6">
        <v>3078852.5214049998</v>
      </c>
      <c r="C21" s="6">
        <v>3263326.92105</v>
      </c>
      <c r="D21" s="6">
        <v>3912667.6484949999</v>
      </c>
      <c r="E21" s="6">
        <v>5013462.1385850003</v>
      </c>
      <c r="F21" s="6">
        <v>7766114.3093999997</v>
      </c>
      <c r="G21" s="6">
        <v>10367558.650994999</v>
      </c>
      <c r="H21" s="6">
        <v>14283741.31408</v>
      </c>
      <c r="I21" s="6">
        <v>23554257.599380001</v>
      </c>
      <c r="J21" s="6">
        <v>37440852.356095001</v>
      </c>
      <c r="K21" s="6">
        <v>49377759.152874999</v>
      </c>
      <c r="L21" s="6">
        <v>56419470.388094999</v>
      </c>
    </row>
    <row r="22" spans="1:12" x14ac:dyDescent="0.25">
      <c r="A22" s="1" t="s">
        <v>10</v>
      </c>
      <c r="B22" s="6">
        <v>1651767.6730800001</v>
      </c>
      <c r="C22" s="6">
        <v>1643621.44279</v>
      </c>
      <c r="D22" s="6">
        <v>2194410.090605</v>
      </c>
      <c r="E22" s="6">
        <v>2892735.3514800002</v>
      </c>
      <c r="F22" s="6">
        <v>3123148.0441149999</v>
      </c>
      <c r="G22" s="6">
        <v>3656226.45628</v>
      </c>
      <c r="H22" s="6">
        <v>4136149.97095</v>
      </c>
      <c r="I22" s="6">
        <v>5977306.7744199997</v>
      </c>
      <c r="J22" s="6">
        <v>10345416.06663</v>
      </c>
      <c r="K22" s="6">
        <v>15156095.94686</v>
      </c>
      <c r="L22" s="6">
        <v>18802940.203030001</v>
      </c>
    </row>
    <row r="23" spans="1:12" x14ac:dyDescent="0.25">
      <c r="A23" s="1" t="s">
        <v>11</v>
      </c>
      <c r="B23" s="6">
        <v>4041845.5442599999</v>
      </c>
      <c r="C23" s="6">
        <v>4206670.0378550002</v>
      </c>
      <c r="D23" s="6">
        <v>4513145.22939</v>
      </c>
      <c r="E23" s="6">
        <v>5558567.7336200001</v>
      </c>
      <c r="F23" s="6">
        <v>8349038.8390499996</v>
      </c>
      <c r="G23" s="6">
        <v>10347357.892425001</v>
      </c>
      <c r="H23" s="6">
        <v>12663152.41609</v>
      </c>
      <c r="I23" s="6">
        <v>20576785.189270001</v>
      </c>
      <c r="J23" s="6">
        <v>35326070.45775</v>
      </c>
      <c r="K23" s="6">
        <v>51922503.825704999</v>
      </c>
      <c r="L23" s="6">
        <v>64916085.462350003</v>
      </c>
    </row>
    <row r="24" spans="1:12" x14ac:dyDescent="0.25">
      <c r="A24" s="1" t="s">
        <v>16</v>
      </c>
      <c r="B24" s="6">
        <v>2426066.7004749998</v>
      </c>
      <c r="C24" s="6">
        <v>2547029.041125</v>
      </c>
      <c r="D24" s="6">
        <v>2766863.5410799999</v>
      </c>
      <c r="E24" s="6">
        <v>3275797.4882499999</v>
      </c>
      <c r="F24" s="6">
        <v>3978496.8478199998</v>
      </c>
      <c r="G24" s="6">
        <v>3838581.739205</v>
      </c>
      <c r="H24" s="6">
        <v>4947560.7463100003</v>
      </c>
      <c r="I24" s="6">
        <v>6926537.5713250004</v>
      </c>
      <c r="J24" s="6">
        <v>10175569.735394999</v>
      </c>
      <c r="K24" s="6">
        <v>14292479.915589999</v>
      </c>
      <c r="L24" s="6">
        <v>19142270.966990001</v>
      </c>
    </row>
    <row r="25" spans="1:12" x14ac:dyDescent="0.25">
      <c r="A25" s="1" t="s">
        <v>1</v>
      </c>
      <c r="B25" s="6">
        <v>6590922.0791250002</v>
      </c>
      <c r="C25" s="6">
        <v>6322884.0022600004</v>
      </c>
      <c r="D25" s="6">
        <v>6819572.9026450003</v>
      </c>
      <c r="E25" s="6">
        <v>7952003.8278350001</v>
      </c>
      <c r="F25" s="6">
        <v>9179760.1174049992</v>
      </c>
      <c r="G25" s="6">
        <v>8451504.7936799992</v>
      </c>
      <c r="H25" s="6">
        <v>9779704.13411</v>
      </c>
      <c r="I25" s="6">
        <v>14182528.500525</v>
      </c>
      <c r="J25" s="6">
        <v>22041356.865194999</v>
      </c>
      <c r="K25" s="6">
        <v>34292024.335129999</v>
      </c>
      <c r="L25" s="6">
        <v>44868485.767305002</v>
      </c>
    </row>
    <row r="26" spans="1:12" x14ac:dyDescent="0.25">
      <c r="A26" s="1" t="s">
        <v>21</v>
      </c>
      <c r="B26" s="6">
        <v>13858569.043625001</v>
      </c>
      <c r="C26" s="6">
        <v>16541590.35201</v>
      </c>
      <c r="D26" s="6">
        <v>20857475.658425</v>
      </c>
      <c r="E26" s="6">
        <v>25344715.410659999</v>
      </c>
      <c r="F26" s="6">
        <v>28173747.800804999</v>
      </c>
      <c r="G26" s="6">
        <v>27412387.692265</v>
      </c>
      <c r="H26" s="6">
        <v>30343306.832759999</v>
      </c>
      <c r="I26" s="6">
        <v>34621788.457120001</v>
      </c>
      <c r="J26" s="6">
        <v>52005558.190350004</v>
      </c>
      <c r="K26" s="6">
        <v>78397097.191530004</v>
      </c>
      <c r="L26" s="6">
        <v>82197508.575584993</v>
      </c>
    </row>
    <row r="27" spans="1:12" x14ac:dyDescent="0.25">
      <c r="A27" s="9" t="s">
        <v>2</v>
      </c>
      <c r="B27" s="12">
        <v>480699131.43404001</v>
      </c>
      <c r="C27" s="12">
        <v>530922752.40792</v>
      </c>
      <c r="D27" s="12">
        <v>620248688.75212502</v>
      </c>
      <c r="E27" s="12">
        <v>769510499.34459805</v>
      </c>
      <c r="F27" s="12">
        <v>1017091085.18639</v>
      </c>
      <c r="G27" s="12">
        <v>1113541906.3752997</v>
      </c>
      <c r="H27" s="12">
        <v>1324623564.496645</v>
      </c>
      <c r="I27" s="12">
        <v>1899714275.2950001</v>
      </c>
      <c r="J27" s="12">
        <v>2723004689.2405791</v>
      </c>
      <c r="K27" s="12">
        <v>3535495816.4242506</v>
      </c>
      <c r="L27" s="12">
        <v>4148963848.6692691</v>
      </c>
    </row>
    <row r="29" spans="1:12" x14ac:dyDescent="0.25">
      <c r="A29" s="4" t="s">
        <v>22</v>
      </c>
    </row>
    <row r="30" spans="1:12" x14ac:dyDescent="0.25">
      <c r="A30" s="5" t="str">
        <f>+'Q1'!A30</f>
        <v>Situação da base de dados em 7/fevereiro/2026</v>
      </c>
    </row>
    <row r="31" spans="1:12" x14ac:dyDescent="0.25">
      <c r="A31" s="5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7398-368E-47BE-96CE-BFAE82143CC2}">
  <dimension ref="A1:L31"/>
  <sheetViews>
    <sheetView showGridLines="0" workbookViewId="0">
      <selection activeCell="A2" sqref="A2"/>
    </sheetView>
  </sheetViews>
  <sheetFormatPr defaultRowHeight="15" x14ac:dyDescent="0.25"/>
  <cols>
    <col min="1" max="1" width="19.85546875" customWidth="1"/>
    <col min="2" max="12" width="10.42578125" customWidth="1"/>
  </cols>
  <sheetData>
    <row r="1" spans="1:12" x14ac:dyDescent="0.25">
      <c r="A1" s="11" t="s">
        <v>37</v>
      </c>
    </row>
    <row r="2" spans="1:12" x14ac:dyDescent="0.25">
      <c r="A2" s="11" t="s">
        <v>42</v>
      </c>
    </row>
    <row r="5" spans="1:12" x14ac:dyDescent="0.25">
      <c r="B5" s="2">
        <v>2015</v>
      </c>
      <c r="C5" s="2">
        <v>2016</v>
      </c>
      <c r="D5" s="2">
        <v>2017</v>
      </c>
      <c r="E5" s="2">
        <v>2018</v>
      </c>
      <c r="F5" s="2">
        <v>2019</v>
      </c>
      <c r="G5" s="2">
        <v>2020</v>
      </c>
      <c r="H5" s="2">
        <v>2021</v>
      </c>
      <c r="I5" s="2">
        <v>2022</v>
      </c>
      <c r="J5" s="2">
        <v>2023</v>
      </c>
      <c r="K5" s="2">
        <v>2024</v>
      </c>
      <c r="L5" s="2">
        <v>2025</v>
      </c>
    </row>
    <row r="6" spans="1:12" x14ac:dyDescent="0.25">
      <c r="A6" s="1" t="s">
        <v>8</v>
      </c>
      <c r="B6" s="3">
        <v>2333</v>
      </c>
      <c r="C6" s="3">
        <v>2144</v>
      </c>
      <c r="D6" s="3">
        <v>2202</v>
      </c>
      <c r="E6" s="3">
        <v>2600</v>
      </c>
      <c r="F6" s="3">
        <v>3486</v>
      </c>
      <c r="G6" s="3">
        <v>5827</v>
      </c>
      <c r="H6" s="3">
        <v>6798</v>
      </c>
      <c r="I6" s="3">
        <v>19355</v>
      </c>
      <c r="J6" s="3">
        <v>12377</v>
      </c>
      <c r="K6" s="3">
        <v>14280</v>
      </c>
      <c r="L6" s="3">
        <v>17009</v>
      </c>
    </row>
    <row r="7" spans="1:12" x14ac:dyDescent="0.25">
      <c r="A7" s="1" t="s">
        <v>7</v>
      </c>
      <c r="B7" s="3">
        <v>1479</v>
      </c>
      <c r="C7" s="3">
        <v>1435</v>
      </c>
      <c r="D7" s="3">
        <v>1446</v>
      </c>
      <c r="E7" s="3">
        <v>1734</v>
      </c>
      <c r="F7" s="3">
        <v>2179</v>
      </c>
      <c r="G7" s="3">
        <v>3690</v>
      </c>
      <c r="H7" s="3">
        <v>5108</v>
      </c>
      <c r="I7" s="3">
        <v>15898</v>
      </c>
      <c r="J7" s="3">
        <v>6863</v>
      </c>
      <c r="K7" s="3">
        <v>8643</v>
      </c>
      <c r="L7" s="3">
        <v>9042</v>
      </c>
    </row>
    <row r="8" spans="1:12" x14ac:dyDescent="0.25">
      <c r="A8" s="1" t="s">
        <v>12</v>
      </c>
      <c r="B8" s="3">
        <v>1595</v>
      </c>
      <c r="C8" s="3">
        <v>1575</v>
      </c>
      <c r="D8" s="3">
        <v>1724</v>
      </c>
      <c r="E8" s="3">
        <v>1974</v>
      </c>
      <c r="F8" s="3">
        <v>2552</v>
      </c>
      <c r="G8" s="3">
        <v>5248</v>
      </c>
      <c r="H8" s="3">
        <v>6289</v>
      </c>
      <c r="I8" s="3">
        <v>19743</v>
      </c>
      <c r="J8" s="3">
        <v>12363</v>
      </c>
      <c r="K8" s="3">
        <v>13726</v>
      </c>
      <c r="L8" s="3">
        <v>15635</v>
      </c>
    </row>
    <row r="9" spans="1:12" x14ac:dyDescent="0.25">
      <c r="A9" s="1" t="s">
        <v>18</v>
      </c>
      <c r="B9" s="3">
        <v>604</v>
      </c>
      <c r="C9" s="3">
        <v>670</v>
      </c>
      <c r="D9" s="3">
        <v>848</v>
      </c>
      <c r="E9" s="3">
        <v>1066</v>
      </c>
      <c r="F9" s="3">
        <v>1432</v>
      </c>
      <c r="G9" s="3">
        <v>1559</v>
      </c>
      <c r="H9" s="3">
        <v>1723</v>
      </c>
      <c r="I9" s="3">
        <v>3587</v>
      </c>
      <c r="J9" s="3">
        <v>2611</v>
      </c>
      <c r="K9" s="3">
        <v>2669</v>
      </c>
      <c r="L9" s="3">
        <v>2866</v>
      </c>
    </row>
    <row r="10" spans="1:12" x14ac:dyDescent="0.25">
      <c r="A10" s="1" t="s">
        <v>17</v>
      </c>
      <c r="B10" s="3">
        <v>529</v>
      </c>
      <c r="C10" s="3">
        <v>502</v>
      </c>
      <c r="D10" s="3">
        <v>550</v>
      </c>
      <c r="E10" s="3">
        <v>552</v>
      </c>
      <c r="F10" s="3">
        <v>767</v>
      </c>
      <c r="G10" s="3">
        <v>1228</v>
      </c>
      <c r="H10" s="3">
        <v>1622</v>
      </c>
      <c r="I10" s="3">
        <v>5011</v>
      </c>
      <c r="J10" s="3">
        <v>3303</v>
      </c>
      <c r="K10" s="3">
        <v>3835</v>
      </c>
      <c r="L10" s="3">
        <v>4586</v>
      </c>
    </row>
    <row r="11" spans="1:12" x14ac:dyDescent="0.25">
      <c r="A11" s="1" t="s">
        <v>20</v>
      </c>
      <c r="B11" s="3">
        <v>1716</v>
      </c>
      <c r="C11" s="3">
        <v>1612</v>
      </c>
      <c r="D11" s="3">
        <v>1648</v>
      </c>
      <c r="E11" s="3">
        <v>1722</v>
      </c>
      <c r="F11" s="3">
        <v>1955</v>
      </c>
      <c r="G11" s="3">
        <v>3263</v>
      </c>
      <c r="H11" s="3">
        <v>3932</v>
      </c>
      <c r="I11" s="3">
        <v>11092</v>
      </c>
      <c r="J11" s="3">
        <v>7255</v>
      </c>
      <c r="K11" s="3">
        <v>7808</v>
      </c>
      <c r="L11" s="3">
        <v>8774</v>
      </c>
    </row>
    <row r="12" spans="1:12" x14ac:dyDescent="0.25">
      <c r="A12" s="1" t="s">
        <v>13</v>
      </c>
      <c r="B12" s="3">
        <v>779</v>
      </c>
      <c r="C12" s="3">
        <v>743</v>
      </c>
      <c r="D12" s="3">
        <v>684</v>
      </c>
      <c r="E12" s="3">
        <v>675</v>
      </c>
      <c r="F12" s="3">
        <v>806</v>
      </c>
      <c r="G12" s="3">
        <v>1176</v>
      </c>
      <c r="H12" s="3">
        <v>1468</v>
      </c>
      <c r="I12" s="3">
        <v>3859</v>
      </c>
      <c r="J12" s="3">
        <v>2375</v>
      </c>
      <c r="K12" s="3">
        <v>2816</v>
      </c>
      <c r="L12" s="3">
        <v>3023</v>
      </c>
    </row>
    <row r="13" spans="1:12" x14ac:dyDescent="0.25">
      <c r="A13" s="1" t="s">
        <v>19</v>
      </c>
      <c r="B13" s="3">
        <v>10994</v>
      </c>
      <c r="C13" s="3">
        <v>10476</v>
      </c>
      <c r="D13" s="3">
        <v>10758</v>
      </c>
      <c r="E13" s="3">
        <v>11636</v>
      </c>
      <c r="F13" s="3">
        <v>13650</v>
      </c>
      <c r="G13" s="3">
        <v>20930</v>
      </c>
      <c r="H13" s="3">
        <v>22894</v>
      </c>
      <c r="I13" s="3">
        <v>46860</v>
      </c>
      <c r="J13" s="3">
        <v>28048</v>
      </c>
      <c r="K13" s="3">
        <v>31638</v>
      </c>
      <c r="L13" s="3">
        <v>33660</v>
      </c>
    </row>
    <row r="14" spans="1:12" x14ac:dyDescent="0.25">
      <c r="A14" s="1" t="s">
        <v>15</v>
      </c>
      <c r="B14" s="3">
        <v>364</v>
      </c>
      <c r="C14" s="3">
        <v>388</v>
      </c>
      <c r="D14" s="3">
        <v>440</v>
      </c>
      <c r="E14" s="3">
        <v>548</v>
      </c>
      <c r="F14" s="3">
        <v>586</v>
      </c>
      <c r="G14" s="3">
        <v>715</v>
      </c>
      <c r="H14" s="3">
        <v>760</v>
      </c>
      <c r="I14" s="3">
        <v>1835</v>
      </c>
      <c r="J14" s="3">
        <v>1319</v>
      </c>
      <c r="K14" s="3">
        <v>1488</v>
      </c>
      <c r="L14" s="3">
        <v>1815</v>
      </c>
    </row>
    <row r="15" spans="1:12" x14ac:dyDescent="0.25">
      <c r="A15" s="1" t="s">
        <v>3</v>
      </c>
      <c r="B15" s="3">
        <v>2912</v>
      </c>
      <c r="C15" s="3">
        <v>2665</v>
      </c>
      <c r="D15" s="3">
        <v>2573</v>
      </c>
      <c r="E15" s="3">
        <v>2874</v>
      </c>
      <c r="F15" s="3">
        <v>3598</v>
      </c>
      <c r="G15" s="3">
        <v>6019</v>
      </c>
      <c r="H15" s="3">
        <v>7481</v>
      </c>
      <c r="I15" s="3">
        <v>19964</v>
      </c>
      <c r="J15" s="3">
        <v>12056</v>
      </c>
      <c r="K15" s="3">
        <v>14289</v>
      </c>
      <c r="L15" s="3">
        <v>16420</v>
      </c>
    </row>
    <row r="16" spans="1:12" x14ac:dyDescent="0.25">
      <c r="A16" s="1" t="s">
        <v>0</v>
      </c>
      <c r="B16" s="3">
        <v>37970</v>
      </c>
      <c r="C16" s="3">
        <v>35069</v>
      </c>
      <c r="D16" s="3">
        <v>34440</v>
      </c>
      <c r="E16" s="3">
        <v>35382</v>
      </c>
      <c r="F16" s="3">
        <v>39105</v>
      </c>
      <c r="G16" s="3">
        <v>63842</v>
      </c>
      <c r="H16" s="3">
        <v>71154</v>
      </c>
      <c r="I16" s="3">
        <v>151163</v>
      </c>
      <c r="J16" s="3">
        <v>91535</v>
      </c>
      <c r="K16" s="3">
        <v>95549</v>
      </c>
      <c r="L16" s="3">
        <v>101966</v>
      </c>
    </row>
    <row r="17" spans="1:12" x14ac:dyDescent="0.25">
      <c r="A17" s="1" t="s">
        <v>14</v>
      </c>
      <c r="B17" s="3">
        <v>622</v>
      </c>
      <c r="C17" s="3">
        <v>545</v>
      </c>
      <c r="D17" s="3">
        <v>515</v>
      </c>
      <c r="E17" s="3">
        <v>516</v>
      </c>
      <c r="F17" s="3">
        <v>530</v>
      </c>
      <c r="G17" s="3">
        <v>740</v>
      </c>
      <c r="H17" s="3">
        <v>870</v>
      </c>
      <c r="I17" s="3">
        <v>2096</v>
      </c>
      <c r="J17" s="3">
        <v>1350</v>
      </c>
      <c r="K17" s="3">
        <v>1498</v>
      </c>
      <c r="L17" s="3">
        <v>1779</v>
      </c>
    </row>
    <row r="18" spans="1:12" x14ac:dyDescent="0.25">
      <c r="A18" s="1" t="s">
        <v>6</v>
      </c>
      <c r="B18" s="3">
        <v>5320</v>
      </c>
      <c r="C18" s="3">
        <v>5110</v>
      </c>
      <c r="D18" s="3">
        <v>5205</v>
      </c>
      <c r="E18" s="3">
        <v>5709</v>
      </c>
      <c r="F18" s="3">
        <v>7252</v>
      </c>
      <c r="G18" s="3">
        <v>13875</v>
      </c>
      <c r="H18" s="3">
        <v>15758</v>
      </c>
      <c r="I18" s="3">
        <v>45700</v>
      </c>
      <c r="J18" s="3">
        <v>28196</v>
      </c>
      <c r="K18" s="3">
        <v>31098</v>
      </c>
      <c r="L18" s="3">
        <v>35551</v>
      </c>
    </row>
    <row r="19" spans="1:12" x14ac:dyDescent="0.25">
      <c r="A19" s="1" t="s">
        <v>5</v>
      </c>
      <c r="B19" s="3">
        <v>2697</v>
      </c>
      <c r="C19" s="3">
        <v>2489</v>
      </c>
      <c r="D19" s="3">
        <v>2458</v>
      </c>
      <c r="E19" s="3">
        <v>2679</v>
      </c>
      <c r="F19" s="3">
        <v>3272</v>
      </c>
      <c r="G19" s="3">
        <v>5081</v>
      </c>
      <c r="H19" s="3">
        <v>6205</v>
      </c>
      <c r="I19" s="3">
        <v>15295</v>
      </c>
      <c r="J19" s="3">
        <v>10674</v>
      </c>
      <c r="K19" s="3">
        <v>12473</v>
      </c>
      <c r="L19" s="3">
        <v>14356</v>
      </c>
    </row>
    <row r="20" spans="1:12" x14ac:dyDescent="0.25">
      <c r="A20" s="1" t="s">
        <v>9</v>
      </c>
      <c r="B20" s="3">
        <v>10419</v>
      </c>
      <c r="C20" s="3">
        <v>9454</v>
      </c>
      <c r="D20" s="3">
        <v>9020</v>
      </c>
      <c r="E20" s="3">
        <v>9784</v>
      </c>
      <c r="F20" s="3">
        <v>11206</v>
      </c>
      <c r="G20" s="3">
        <v>18636</v>
      </c>
      <c r="H20" s="3">
        <v>22469</v>
      </c>
      <c r="I20" s="3">
        <v>47220</v>
      </c>
      <c r="J20" s="3">
        <v>31326</v>
      </c>
      <c r="K20" s="3">
        <v>34176</v>
      </c>
      <c r="L20" s="3">
        <v>37945</v>
      </c>
    </row>
    <row r="21" spans="1:12" x14ac:dyDescent="0.25">
      <c r="A21" s="1" t="s">
        <v>4</v>
      </c>
      <c r="B21" s="3">
        <v>541</v>
      </c>
      <c r="C21" s="3">
        <v>531</v>
      </c>
      <c r="D21" s="3">
        <v>527</v>
      </c>
      <c r="E21" s="3">
        <v>591</v>
      </c>
      <c r="F21" s="3">
        <v>776</v>
      </c>
      <c r="G21" s="3">
        <v>1524</v>
      </c>
      <c r="H21" s="3">
        <v>2285</v>
      </c>
      <c r="I21" s="3">
        <v>6625</v>
      </c>
      <c r="J21" s="3">
        <v>4247</v>
      </c>
      <c r="K21" s="3">
        <v>5003</v>
      </c>
      <c r="L21" s="3">
        <v>5888</v>
      </c>
    </row>
    <row r="22" spans="1:12" x14ac:dyDescent="0.25">
      <c r="A22" s="1" t="s">
        <v>10</v>
      </c>
      <c r="B22" s="3">
        <v>367</v>
      </c>
      <c r="C22" s="3">
        <v>331</v>
      </c>
      <c r="D22" s="3">
        <v>334</v>
      </c>
      <c r="E22" s="3">
        <v>374</v>
      </c>
      <c r="F22" s="3">
        <v>408</v>
      </c>
      <c r="G22" s="3">
        <v>647</v>
      </c>
      <c r="H22" s="3">
        <v>729</v>
      </c>
      <c r="I22" s="3">
        <v>2114</v>
      </c>
      <c r="J22" s="3">
        <v>1431</v>
      </c>
      <c r="K22" s="3">
        <v>1732</v>
      </c>
      <c r="L22" s="3">
        <v>2043</v>
      </c>
    </row>
    <row r="23" spans="1:12" x14ac:dyDescent="0.25">
      <c r="A23" s="1" t="s">
        <v>11</v>
      </c>
      <c r="B23" s="3">
        <v>827</v>
      </c>
      <c r="C23" s="3">
        <v>717</v>
      </c>
      <c r="D23" s="3">
        <v>687</v>
      </c>
      <c r="E23" s="3">
        <v>733</v>
      </c>
      <c r="F23" s="3">
        <v>920</v>
      </c>
      <c r="G23" s="3">
        <v>1696</v>
      </c>
      <c r="H23" s="3">
        <v>2232</v>
      </c>
      <c r="I23" s="3">
        <v>6691</v>
      </c>
      <c r="J23" s="3">
        <v>4491</v>
      </c>
      <c r="K23" s="3">
        <v>5832</v>
      </c>
      <c r="L23" s="3">
        <v>7261</v>
      </c>
    </row>
    <row r="24" spans="1:12" x14ac:dyDescent="0.25">
      <c r="A24" s="1" t="s">
        <v>16</v>
      </c>
      <c r="B24" s="3">
        <v>506</v>
      </c>
      <c r="C24" s="3">
        <v>475</v>
      </c>
      <c r="D24" s="3">
        <v>469</v>
      </c>
      <c r="E24" s="3">
        <v>489</v>
      </c>
      <c r="F24" s="3">
        <v>545</v>
      </c>
      <c r="G24" s="3">
        <v>810</v>
      </c>
      <c r="H24" s="3">
        <v>757</v>
      </c>
      <c r="I24" s="3">
        <v>1709</v>
      </c>
      <c r="J24" s="3">
        <v>1051</v>
      </c>
      <c r="K24" s="3">
        <v>1207</v>
      </c>
      <c r="L24" s="3">
        <v>1503</v>
      </c>
    </row>
    <row r="25" spans="1:12" x14ac:dyDescent="0.25">
      <c r="A25" s="1" t="s">
        <v>1</v>
      </c>
      <c r="B25" s="3">
        <v>757</v>
      </c>
      <c r="C25" s="3">
        <v>704</v>
      </c>
      <c r="D25" s="3">
        <v>735</v>
      </c>
      <c r="E25" s="3">
        <v>816</v>
      </c>
      <c r="F25" s="3">
        <v>901</v>
      </c>
      <c r="G25" s="3">
        <v>1429</v>
      </c>
      <c r="H25" s="3">
        <v>1404</v>
      </c>
      <c r="I25" s="3">
        <v>3237</v>
      </c>
      <c r="J25" s="3">
        <v>1865</v>
      </c>
      <c r="K25" s="3">
        <v>2227</v>
      </c>
      <c r="L25" s="3">
        <v>2512</v>
      </c>
    </row>
    <row r="26" spans="1:12" x14ac:dyDescent="0.25">
      <c r="A26" s="1" t="s">
        <v>21</v>
      </c>
      <c r="B26" s="3">
        <v>714</v>
      </c>
      <c r="C26" s="3">
        <v>663</v>
      </c>
      <c r="D26" s="3">
        <v>683</v>
      </c>
      <c r="E26" s="3">
        <v>878</v>
      </c>
      <c r="F26" s="3">
        <v>913</v>
      </c>
      <c r="G26" s="3">
        <v>980</v>
      </c>
      <c r="H26" s="3">
        <v>1022</v>
      </c>
      <c r="I26" s="3">
        <v>1484</v>
      </c>
      <c r="J26" s="3">
        <v>1161</v>
      </c>
      <c r="K26" s="3">
        <v>1101</v>
      </c>
      <c r="L26" s="3">
        <v>985</v>
      </c>
    </row>
    <row r="27" spans="1:12" x14ac:dyDescent="0.25">
      <c r="A27" s="9" t="s">
        <v>2</v>
      </c>
      <c r="B27" s="10">
        <v>84045</v>
      </c>
      <c r="C27" s="10">
        <v>78298</v>
      </c>
      <c r="D27" s="10">
        <v>77946</v>
      </c>
      <c r="E27" s="10">
        <v>83332</v>
      </c>
      <c r="F27" s="10">
        <v>96839</v>
      </c>
      <c r="G27" s="10">
        <v>158915</v>
      </c>
      <c r="H27" s="10">
        <v>182960</v>
      </c>
      <c r="I27" s="10">
        <v>430538</v>
      </c>
      <c r="J27" s="10">
        <v>265897</v>
      </c>
      <c r="K27" s="10">
        <v>293088</v>
      </c>
      <c r="L27" s="10">
        <v>324619</v>
      </c>
    </row>
    <row r="29" spans="1:12" x14ac:dyDescent="0.25">
      <c r="A29" s="4" t="s">
        <v>22</v>
      </c>
    </row>
    <row r="30" spans="1:12" x14ac:dyDescent="0.25">
      <c r="A30" s="5" t="str">
        <f>+'Q1'!A30</f>
        <v>Situação da base de dados em 7/fevereiro/2026</v>
      </c>
    </row>
    <row r="31" spans="1:12" x14ac:dyDescent="0.25">
      <c r="A31" s="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75DD-D56E-4394-AD17-4FB9D93096C3}">
  <dimension ref="A1:M24"/>
  <sheetViews>
    <sheetView showGridLines="0" workbookViewId="0">
      <selection activeCell="A2" sqref="A2"/>
    </sheetView>
  </sheetViews>
  <sheetFormatPr defaultRowHeight="15" x14ac:dyDescent="0.25"/>
  <cols>
    <col min="1" max="1" width="10.7109375" customWidth="1"/>
    <col min="2" max="2" width="20.85546875" customWidth="1"/>
    <col min="3" max="13" width="10.5703125" customWidth="1"/>
  </cols>
  <sheetData>
    <row r="1" spans="1:13" x14ac:dyDescent="0.25">
      <c r="A1" s="11" t="s">
        <v>37</v>
      </c>
    </row>
    <row r="2" spans="1:13" x14ac:dyDescent="0.25">
      <c r="A2" s="11" t="s">
        <v>41</v>
      </c>
    </row>
    <row r="5" spans="1:13" x14ac:dyDescent="0.25">
      <c r="C5" s="2">
        <v>2015</v>
      </c>
      <c r="D5" s="2">
        <v>2016</v>
      </c>
      <c r="E5" s="2">
        <v>2017</v>
      </c>
      <c r="F5" s="2">
        <v>2018</v>
      </c>
      <c r="G5" s="2">
        <v>2019</v>
      </c>
      <c r="H5" s="2">
        <v>2020</v>
      </c>
      <c r="I5" s="2">
        <v>2021</v>
      </c>
      <c r="J5" s="2">
        <v>2022</v>
      </c>
      <c r="K5" s="2">
        <v>2023</v>
      </c>
      <c r="L5" s="2">
        <v>2024</v>
      </c>
      <c r="M5" s="2">
        <v>2025</v>
      </c>
    </row>
    <row r="6" spans="1:13" x14ac:dyDescent="0.25">
      <c r="A6" s="17" t="s">
        <v>33</v>
      </c>
      <c r="B6" s="1" t="s">
        <v>28</v>
      </c>
      <c r="C6" s="3">
        <v>318</v>
      </c>
      <c r="D6" s="3">
        <v>310</v>
      </c>
      <c r="E6" s="3">
        <v>337</v>
      </c>
      <c r="F6" s="3">
        <v>365</v>
      </c>
      <c r="G6" s="3">
        <v>484</v>
      </c>
      <c r="H6" s="3">
        <v>539</v>
      </c>
      <c r="I6" s="3">
        <v>622</v>
      </c>
      <c r="J6" s="3">
        <v>3079</v>
      </c>
      <c r="K6" s="3">
        <v>924</v>
      </c>
      <c r="L6" s="3">
        <v>1100</v>
      </c>
      <c r="M6" s="3">
        <v>971</v>
      </c>
    </row>
    <row r="7" spans="1:13" x14ac:dyDescent="0.25">
      <c r="A7" s="18"/>
      <c r="B7" s="1" t="s">
        <v>27</v>
      </c>
      <c r="C7" s="3">
        <v>12017</v>
      </c>
      <c r="D7" s="3">
        <v>11114</v>
      </c>
      <c r="E7" s="3">
        <v>11061</v>
      </c>
      <c r="F7" s="3">
        <v>11597</v>
      </c>
      <c r="G7" s="3">
        <v>13327</v>
      </c>
      <c r="H7" s="3">
        <v>20178</v>
      </c>
      <c r="I7" s="3">
        <v>23323</v>
      </c>
      <c r="J7" s="3">
        <v>55114</v>
      </c>
      <c r="K7" s="3">
        <v>31956</v>
      </c>
      <c r="L7" s="3">
        <v>36644</v>
      </c>
      <c r="M7" s="3">
        <v>40289</v>
      </c>
    </row>
    <row r="8" spans="1:13" x14ac:dyDescent="0.25">
      <c r="A8" s="18"/>
      <c r="B8" s="1" t="s">
        <v>29</v>
      </c>
      <c r="C8" s="3">
        <v>21323</v>
      </c>
      <c r="D8" s="3">
        <v>19978</v>
      </c>
      <c r="E8" s="3">
        <v>19953</v>
      </c>
      <c r="F8" s="3">
        <v>21066</v>
      </c>
      <c r="G8" s="3">
        <v>24553</v>
      </c>
      <c r="H8" s="3">
        <v>34719</v>
      </c>
      <c r="I8" s="3">
        <v>39057</v>
      </c>
      <c r="J8" s="3">
        <v>73186</v>
      </c>
      <c r="K8" s="3">
        <v>56287</v>
      </c>
      <c r="L8" s="3">
        <v>63598</v>
      </c>
      <c r="M8" s="3">
        <v>72180</v>
      </c>
    </row>
    <row r="9" spans="1:13" x14ac:dyDescent="0.25">
      <c r="A9" s="18"/>
      <c r="B9" s="1" t="s">
        <v>25</v>
      </c>
      <c r="C9" s="3">
        <v>12703</v>
      </c>
      <c r="D9" s="3">
        <v>12143</v>
      </c>
      <c r="E9" s="3">
        <v>12312</v>
      </c>
      <c r="F9" s="3">
        <v>13013</v>
      </c>
      <c r="G9" s="3">
        <v>14765</v>
      </c>
      <c r="H9" s="3">
        <v>22276</v>
      </c>
      <c r="I9" s="3">
        <v>25030</v>
      </c>
      <c r="J9" s="3">
        <v>48545</v>
      </c>
      <c r="K9" s="3">
        <v>36643</v>
      </c>
      <c r="L9" s="3">
        <v>39877</v>
      </c>
      <c r="M9" s="3">
        <v>45131</v>
      </c>
    </row>
    <row r="10" spans="1:13" x14ac:dyDescent="0.25">
      <c r="A10" s="18"/>
      <c r="B10" s="1" t="s">
        <v>24</v>
      </c>
      <c r="C10" s="3">
        <v>4801</v>
      </c>
      <c r="D10" s="3">
        <v>4711</v>
      </c>
      <c r="E10" s="3">
        <v>4772</v>
      </c>
      <c r="F10" s="3">
        <v>5123</v>
      </c>
      <c r="G10" s="3">
        <v>5482</v>
      </c>
      <c r="H10" s="3">
        <v>8959</v>
      </c>
      <c r="I10" s="3">
        <v>10037</v>
      </c>
      <c r="J10" s="3">
        <v>21203</v>
      </c>
      <c r="K10" s="3">
        <v>14367</v>
      </c>
      <c r="L10" s="3">
        <v>14695</v>
      </c>
      <c r="M10" s="3">
        <v>16204</v>
      </c>
    </row>
    <row r="11" spans="1:13" x14ac:dyDescent="0.25">
      <c r="A11" s="18"/>
      <c r="B11" s="1" t="s">
        <v>26</v>
      </c>
      <c r="C11" s="3">
        <v>2068</v>
      </c>
      <c r="D11" s="3">
        <v>2160</v>
      </c>
      <c r="E11" s="3">
        <v>2351</v>
      </c>
      <c r="F11" s="3">
        <v>2497</v>
      </c>
      <c r="G11" s="3">
        <v>2654</v>
      </c>
      <c r="H11" s="3">
        <v>3512</v>
      </c>
      <c r="I11" s="3">
        <v>3864</v>
      </c>
      <c r="J11" s="3">
        <v>10665</v>
      </c>
      <c r="K11" s="3">
        <v>7899</v>
      </c>
      <c r="L11" s="3">
        <v>6835</v>
      </c>
      <c r="M11" s="3">
        <v>7291</v>
      </c>
    </row>
    <row r="12" spans="1:13" s="8" customFormat="1" x14ac:dyDescent="0.25">
      <c r="A12" s="18"/>
      <c r="B12" s="1" t="s">
        <v>34</v>
      </c>
      <c r="C12" s="7">
        <v>53230</v>
      </c>
      <c r="D12" s="7">
        <v>50416</v>
      </c>
      <c r="E12" s="7">
        <v>50786</v>
      </c>
      <c r="F12" s="7">
        <v>53661</v>
      </c>
      <c r="G12" s="7">
        <v>61265</v>
      </c>
      <c r="H12" s="7">
        <v>90183</v>
      </c>
      <c r="I12" s="7">
        <v>101933</v>
      </c>
      <c r="J12" s="7">
        <v>211792</v>
      </c>
      <c r="K12" s="7">
        <v>148076</v>
      </c>
      <c r="L12" s="7">
        <v>162749</v>
      </c>
      <c r="M12" s="7">
        <v>182066</v>
      </c>
    </row>
    <row r="13" spans="1:13" x14ac:dyDescent="0.25">
      <c r="A13" s="17" t="s">
        <v>32</v>
      </c>
      <c r="B13" s="1" t="s">
        <v>28</v>
      </c>
      <c r="C13" s="3">
        <v>154</v>
      </c>
      <c r="D13" s="3">
        <v>141</v>
      </c>
      <c r="E13" s="3">
        <v>195</v>
      </c>
      <c r="F13" s="3">
        <v>228</v>
      </c>
      <c r="G13" s="3">
        <v>302</v>
      </c>
      <c r="H13" s="3">
        <v>370</v>
      </c>
      <c r="I13" s="3">
        <v>418</v>
      </c>
      <c r="J13" s="3">
        <v>3182</v>
      </c>
      <c r="K13" s="3">
        <v>706</v>
      </c>
      <c r="L13" s="3">
        <v>812</v>
      </c>
      <c r="M13" s="3">
        <v>821</v>
      </c>
    </row>
    <row r="14" spans="1:13" x14ac:dyDescent="0.25">
      <c r="A14" s="18"/>
      <c r="B14" s="1" t="s">
        <v>27</v>
      </c>
      <c r="C14" s="3">
        <v>4793</v>
      </c>
      <c r="D14" s="3">
        <v>4716</v>
      </c>
      <c r="E14" s="3">
        <v>4804</v>
      </c>
      <c r="F14" s="3">
        <v>5594</v>
      </c>
      <c r="G14" s="3">
        <v>7260</v>
      </c>
      <c r="H14" s="3">
        <v>16636</v>
      </c>
      <c r="I14" s="3">
        <v>20044</v>
      </c>
      <c r="J14" s="3">
        <v>67325</v>
      </c>
      <c r="K14" s="3">
        <v>24763</v>
      </c>
      <c r="L14" s="3">
        <v>27829</v>
      </c>
      <c r="M14" s="3">
        <v>29331</v>
      </c>
    </row>
    <row r="15" spans="1:13" x14ac:dyDescent="0.25">
      <c r="A15" s="18"/>
      <c r="B15" s="1" t="s">
        <v>29</v>
      </c>
      <c r="C15" s="3">
        <v>9895</v>
      </c>
      <c r="D15" s="3">
        <v>8690</v>
      </c>
      <c r="E15" s="3">
        <v>8686</v>
      </c>
      <c r="F15" s="3">
        <v>9842</v>
      </c>
      <c r="G15" s="3">
        <v>12602</v>
      </c>
      <c r="H15" s="3">
        <v>25096</v>
      </c>
      <c r="I15" s="3">
        <v>30531</v>
      </c>
      <c r="J15" s="3">
        <v>78458</v>
      </c>
      <c r="K15" s="3">
        <v>46324</v>
      </c>
      <c r="L15" s="3">
        <v>52529</v>
      </c>
      <c r="M15" s="3">
        <v>57992</v>
      </c>
    </row>
    <row r="16" spans="1:13" x14ac:dyDescent="0.25">
      <c r="A16" s="18"/>
      <c r="B16" s="1" t="s">
        <v>25</v>
      </c>
      <c r="C16" s="3">
        <v>8605</v>
      </c>
      <c r="D16" s="3">
        <v>7686</v>
      </c>
      <c r="E16" s="3">
        <v>7171</v>
      </c>
      <c r="F16" s="3">
        <v>7576</v>
      </c>
      <c r="G16" s="3">
        <v>8856</v>
      </c>
      <c r="H16" s="3">
        <v>15976</v>
      </c>
      <c r="I16" s="3">
        <v>18527</v>
      </c>
      <c r="J16" s="3">
        <v>44029</v>
      </c>
      <c r="K16" s="3">
        <v>29468</v>
      </c>
      <c r="L16" s="3">
        <v>32765</v>
      </c>
      <c r="M16" s="3">
        <v>36513</v>
      </c>
    </row>
    <row r="17" spans="1:13" x14ac:dyDescent="0.25">
      <c r="A17" s="18"/>
      <c r="B17" s="1" t="s">
        <v>24</v>
      </c>
      <c r="C17" s="3">
        <v>5087</v>
      </c>
      <c r="D17" s="3">
        <v>4392</v>
      </c>
      <c r="E17" s="3">
        <v>4018</v>
      </c>
      <c r="F17" s="3">
        <v>4000</v>
      </c>
      <c r="G17" s="3">
        <v>4105</v>
      </c>
      <c r="H17" s="3">
        <v>7300</v>
      </c>
      <c r="I17" s="3">
        <v>7970</v>
      </c>
      <c r="J17" s="3">
        <v>17216</v>
      </c>
      <c r="K17" s="3">
        <v>10979</v>
      </c>
      <c r="L17" s="3">
        <v>11374</v>
      </c>
      <c r="M17" s="3">
        <v>12487</v>
      </c>
    </row>
    <row r="18" spans="1:13" x14ac:dyDescent="0.25">
      <c r="A18" s="18"/>
      <c r="B18" s="1" t="s">
        <v>26</v>
      </c>
      <c r="C18" s="3">
        <v>2281</v>
      </c>
      <c r="D18" s="3">
        <v>2257</v>
      </c>
      <c r="E18" s="3">
        <v>2286</v>
      </c>
      <c r="F18" s="3">
        <v>2431</v>
      </c>
      <c r="G18" s="3">
        <v>2449</v>
      </c>
      <c r="H18" s="3">
        <v>3354</v>
      </c>
      <c r="I18" s="3">
        <v>3537</v>
      </c>
      <c r="J18" s="3">
        <v>8536</v>
      </c>
      <c r="K18" s="3">
        <v>5581</v>
      </c>
      <c r="L18" s="3">
        <v>5030</v>
      </c>
      <c r="M18" s="3">
        <v>5409</v>
      </c>
    </row>
    <row r="19" spans="1:13" s="8" customFormat="1" x14ac:dyDescent="0.25">
      <c r="A19" s="18"/>
      <c r="B19" s="1" t="s">
        <v>34</v>
      </c>
      <c r="C19" s="7">
        <v>30815</v>
      </c>
      <c r="D19" s="7">
        <v>27882</v>
      </c>
      <c r="E19" s="7">
        <v>27160</v>
      </c>
      <c r="F19" s="7">
        <v>29671</v>
      </c>
      <c r="G19" s="7">
        <v>35574</v>
      </c>
      <c r="H19" s="7">
        <v>68732</v>
      </c>
      <c r="I19" s="7">
        <v>81027</v>
      </c>
      <c r="J19" s="7">
        <v>218746</v>
      </c>
      <c r="K19" s="7">
        <v>117821</v>
      </c>
      <c r="L19" s="7">
        <v>130339</v>
      </c>
      <c r="M19" s="7">
        <v>142553</v>
      </c>
    </row>
    <row r="20" spans="1:13" x14ac:dyDescent="0.25">
      <c r="A20" s="19" t="s">
        <v>2</v>
      </c>
      <c r="B20" s="20"/>
      <c r="C20" s="10">
        <v>84045</v>
      </c>
      <c r="D20" s="10">
        <v>78298</v>
      </c>
      <c r="E20" s="10">
        <v>77946</v>
      </c>
      <c r="F20" s="10">
        <v>83332</v>
      </c>
      <c r="G20" s="10">
        <v>96839</v>
      </c>
      <c r="H20" s="10">
        <v>158915</v>
      </c>
      <c r="I20" s="10">
        <v>182960</v>
      </c>
      <c r="J20" s="10">
        <v>430538</v>
      </c>
      <c r="K20" s="10">
        <v>265897</v>
      </c>
      <c r="L20" s="10">
        <v>293088</v>
      </c>
      <c r="M20" s="10">
        <v>324619</v>
      </c>
    </row>
    <row r="22" spans="1:13" x14ac:dyDescent="0.25">
      <c r="A22" s="4" t="s">
        <v>22</v>
      </c>
    </row>
    <row r="23" spans="1:13" x14ac:dyDescent="0.25">
      <c r="A23" s="5" t="str">
        <f>+'Q1'!A30</f>
        <v>Situação da base de dados em 7/fevereiro/2026</v>
      </c>
      <c r="M23" s="21"/>
    </row>
    <row r="24" spans="1:13" x14ac:dyDescent="0.25">
      <c r="A24" s="5" t="s">
        <v>23</v>
      </c>
    </row>
  </sheetData>
  <mergeCells count="3">
    <mergeCell ref="A6:A12"/>
    <mergeCell ref="A13:A19"/>
    <mergeCell ref="A20:B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B284-D19C-4E01-A12F-EF0CCEF58C28}">
  <dimension ref="A1:L31"/>
  <sheetViews>
    <sheetView showGridLines="0" topLeftCell="A2" workbookViewId="0">
      <selection activeCell="D36" sqref="D36"/>
    </sheetView>
  </sheetViews>
  <sheetFormatPr defaultRowHeight="15" x14ac:dyDescent="0.25"/>
  <cols>
    <col min="1" max="1" width="24.42578125" bestFit="1" customWidth="1"/>
    <col min="2" max="12" width="16" customWidth="1"/>
    <col min="13" max="13" width="34" bestFit="1" customWidth="1"/>
    <col min="14" max="14" width="24.42578125" bestFit="1" customWidth="1"/>
    <col min="15" max="15" width="34" bestFit="1" customWidth="1"/>
    <col min="16" max="16" width="24.42578125" bestFit="1" customWidth="1"/>
    <col min="17" max="17" width="34" bestFit="1" customWidth="1"/>
    <col min="18" max="18" width="24.42578125" bestFit="1" customWidth="1"/>
    <col min="19" max="19" width="34" bestFit="1" customWidth="1"/>
    <col min="20" max="20" width="24.42578125" bestFit="1" customWidth="1"/>
    <col min="21" max="21" width="39" bestFit="1" customWidth="1"/>
    <col min="22" max="22" width="29.42578125" bestFit="1" customWidth="1"/>
    <col min="23" max="23" width="39" bestFit="1" customWidth="1"/>
    <col min="24" max="24" width="29.42578125" bestFit="1" customWidth="1"/>
  </cols>
  <sheetData>
    <row r="1" spans="1:12" x14ac:dyDescent="0.25">
      <c r="A1" s="11" t="s">
        <v>40</v>
      </c>
    </row>
    <row r="2" spans="1:12" x14ac:dyDescent="0.25">
      <c r="A2" s="11" t="s">
        <v>42</v>
      </c>
    </row>
    <row r="5" spans="1:12" x14ac:dyDescent="0.25">
      <c r="B5" s="2">
        <v>2015</v>
      </c>
      <c r="C5" s="2">
        <v>2016</v>
      </c>
      <c r="D5" s="2">
        <v>2017</v>
      </c>
      <c r="E5" s="2">
        <v>2018</v>
      </c>
      <c r="F5" s="2">
        <v>2019</v>
      </c>
      <c r="G5" s="2">
        <v>2020</v>
      </c>
      <c r="H5" s="2">
        <v>2021</v>
      </c>
      <c r="I5" s="2">
        <v>2022</v>
      </c>
      <c r="J5" s="2">
        <v>2023</v>
      </c>
      <c r="K5" s="2">
        <v>2024</v>
      </c>
      <c r="L5" s="2">
        <v>2025</v>
      </c>
    </row>
    <row r="6" spans="1:12" x14ac:dyDescent="0.25">
      <c r="A6" s="1" t="s">
        <v>8</v>
      </c>
      <c r="B6" s="6">
        <v>3486967.13</v>
      </c>
      <c r="C6" s="6">
        <v>3111655.66</v>
      </c>
      <c r="D6" s="6">
        <v>3001353.79</v>
      </c>
      <c r="E6" s="6">
        <v>3434399.89</v>
      </c>
      <c r="F6" s="6">
        <v>4642732.7300000004</v>
      </c>
      <c r="G6" s="6">
        <v>8672042.3100000005</v>
      </c>
      <c r="H6" s="6">
        <v>10099732.279999999</v>
      </c>
      <c r="I6" s="6">
        <v>16544131.210000001</v>
      </c>
      <c r="J6" s="6">
        <v>24340258.579999998</v>
      </c>
      <c r="K6" s="6">
        <v>32894196.739999998</v>
      </c>
      <c r="L6" s="6">
        <v>40247078.990000002</v>
      </c>
    </row>
    <row r="7" spans="1:12" x14ac:dyDescent="0.25">
      <c r="A7" s="1" t="s">
        <v>7</v>
      </c>
      <c r="B7" s="6">
        <v>2247294.83</v>
      </c>
      <c r="C7" s="6">
        <v>2179382.2200000002</v>
      </c>
      <c r="D7" s="6">
        <v>2015304.37</v>
      </c>
      <c r="E7" s="6">
        <v>2434232.4</v>
      </c>
      <c r="F7" s="6">
        <v>3085555.09</v>
      </c>
      <c r="G7" s="6">
        <v>5135939.99</v>
      </c>
      <c r="H7" s="6">
        <v>7162487.29</v>
      </c>
      <c r="I7" s="6">
        <v>10218677.779999999</v>
      </c>
      <c r="J7" s="6">
        <v>14250225.859999999</v>
      </c>
      <c r="K7" s="6">
        <v>18488833.789999999</v>
      </c>
      <c r="L7" s="6">
        <v>19897193.129999999</v>
      </c>
    </row>
    <row r="8" spans="1:12" x14ac:dyDescent="0.25">
      <c r="A8" s="1" t="s">
        <v>12</v>
      </c>
      <c r="B8" s="6">
        <v>2529387.92</v>
      </c>
      <c r="C8" s="6">
        <v>2404814.4900000002</v>
      </c>
      <c r="D8" s="6">
        <v>2655089.0299999998</v>
      </c>
      <c r="E8" s="6">
        <v>2948362.37</v>
      </c>
      <c r="F8" s="6">
        <v>4011465.37</v>
      </c>
      <c r="G8" s="6">
        <v>8339699.0899999999</v>
      </c>
      <c r="H8" s="6">
        <v>10568683.32</v>
      </c>
      <c r="I8" s="6">
        <v>14353517.73</v>
      </c>
      <c r="J8" s="6">
        <v>22752835.649999999</v>
      </c>
      <c r="K8" s="6">
        <v>31537986.780000001</v>
      </c>
      <c r="L8" s="6">
        <v>37546999.299999997</v>
      </c>
    </row>
    <row r="9" spans="1:12" x14ac:dyDescent="0.25">
      <c r="A9" s="1" t="s">
        <v>18</v>
      </c>
      <c r="B9" s="6">
        <v>779357.4</v>
      </c>
      <c r="C9" s="6">
        <v>853390.78</v>
      </c>
      <c r="D9" s="6">
        <v>938859.38</v>
      </c>
      <c r="E9" s="6">
        <v>1081602.18</v>
      </c>
      <c r="F9" s="6">
        <v>1294339.3700000001</v>
      </c>
      <c r="G9" s="6">
        <v>1657296.35</v>
      </c>
      <c r="H9" s="6">
        <v>2004845.53</v>
      </c>
      <c r="I9" s="6">
        <v>2929639.93</v>
      </c>
      <c r="J9" s="6">
        <v>4073016.63</v>
      </c>
      <c r="K9" s="6">
        <v>4767727.75</v>
      </c>
      <c r="L9" s="6">
        <v>5616311.1900000004</v>
      </c>
    </row>
    <row r="10" spans="1:12" x14ac:dyDescent="0.25">
      <c r="A10" s="1" t="s">
        <v>17</v>
      </c>
      <c r="B10" s="6">
        <v>720730.96</v>
      </c>
      <c r="C10" s="6">
        <v>770732.02</v>
      </c>
      <c r="D10" s="6">
        <v>852250.63</v>
      </c>
      <c r="E10" s="6">
        <v>942263.3</v>
      </c>
      <c r="F10" s="6">
        <v>1146143.01</v>
      </c>
      <c r="G10" s="6">
        <v>1814385.7</v>
      </c>
      <c r="H10" s="6">
        <v>2260423.9700000002</v>
      </c>
      <c r="I10" s="6">
        <v>3859704.4</v>
      </c>
      <c r="J10" s="6">
        <v>6140063.5899999999</v>
      </c>
      <c r="K10" s="6">
        <v>9007688.6500000004</v>
      </c>
      <c r="L10" s="6">
        <v>11438877.51</v>
      </c>
    </row>
    <row r="11" spans="1:12" x14ac:dyDescent="0.25">
      <c r="A11" s="1" t="s">
        <v>20</v>
      </c>
      <c r="B11" s="6">
        <v>2546883</v>
      </c>
      <c r="C11" s="6">
        <v>2456936.04</v>
      </c>
      <c r="D11" s="6">
        <v>2332165.46</v>
      </c>
      <c r="E11" s="6">
        <v>2397047.59</v>
      </c>
      <c r="F11" s="6">
        <v>2718126.77</v>
      </c>
      <c r="G11" s="6">
        <v>5109354.07</v>
      </c>
      <c r="H11" s="6">
        <v>6391656.0199999996</v>
      </c>
      <c r="I11" s="6">
        <v>9120868.0299999993</v>
      </c>
      <c r="J11" s="6">
        <v>13699790.84</v>
      </c>
      <c r="K11" s="6">
        <v>18018410.829999998</v>
      </c>
      <c r="L11" s="6">
        <v>21157990.510000002</v>
      </c>
    </row>
    <row r="12" spans="1:12" x14ac:dyDescent="0.25">
      <c r="A12" s="1" t="s">
        <v>13</v>
      </c>
      <c r="B12" s="6">
        <v>1167544.8400000001</v>
      </c>
      <c r="C12" s="6">
        <v>1146779.6100000001</v>
      </c>
      <c r="D12" s="6">
        <v>1010097.72</v>
      </c>
      <c r="E12" s="6">
        <v>1090309.8700000001</v>
      </c>
      <c r="F12" s="6">
        <v>1216907.1100000001</v>
      </c>
      <c r="G12" s="6">
        <v>1905348.72</v>
      </c>
      <c r="H12" s="6">
        <v>2284330.9500000002</v>
      </c>
      <c r="I12" s="6">
        <v>3113332.06</v>
      </c>
      <c r="J12" s="6">
        <v>4860192.3899999997</v>
      </c>
      <c r="K12" s="6">
        <v>7021268.0700000003</v>
      </c>
      <c r="L12" s="6">
        <v>7636354.6699999999</v>
      </c>
    </row>
    <row r="13" spans="1:12" x14ac:dyDescent="0.25">
      <c r="A13" s="1" t="s">
        <v>19</v>
      </c>
      <c r="B13" s="6">
        <v>16813622.629999999</v>
      </c>
      <c r="C13" s="6">
        <v>15374185.9</v>
      </c>
      <c r="D13" s="6">
        <v>15600534.23</v>
      </c>
      <c r="E13" s="6">
        <v>17350352.809999999</v>
      </c>
      <c r="F13" s="6">
        <v>21118602.739999998</v>
      </c>
      <c r="G13" s="6">
        <v>43875474.670000002</v>
      </c>
      <c r="H13" s="6">
        <v>47579426</v>
      </c>
      <c r="I13" s="6">
        <v>44327038.380000003</v>
      </c>
      <c r="J13" s="6">
        <v>59268908.939999998</v>
      </c>
      <c r="K13" s="6">
        <v>72395827.560000002</v>
      </c>
      <c r="L13" s="6">
        <v>79394819.829999998</v>
      </c>
    </row>
    <row r="14" spans="1:12" x14ac:dyDescent="0.25">
      <c r="A14" s="1" t="s">
        <v>15</v>
      </c>
      <c r="B14" s="6">
        <v>496095.56</v>
      </c>
      <c r="C14" s="6">
        <v>578076.61</v>
      </c>
      <c r="D14" s="6">
        <v>592670.18000000005</v>
      </c>
      <c r="E14" s="6">
        <v>575625.32999999996</v>
      </c>
      <c r="F14" s="6">
        <v>685371.23</v>
      </c>
      <c r="G14" s="6">
        <v>952187.77</v>
      </c>
      <c r="H14" s="6">
        <v>1137101.69</v>
      </c>
      <c r="I14" s="6">
        <v>1873011.3</v>
      </c>
      <c r="J14" s="6">
        <v>2513622.9300000002</v>
      </c>
      <c r="K14" s="6">
        <v>3336863.02</v>
      </c>
      <c r="L14" s="6">
        <v>4351059.63</v>
      </c>
    </row>
    <row r="15" spans="1:12" x14ac:dyDescent="0.25">
      <c r="A15" s="1" t="s">
        <v>3</v>
      </c>
      <c r="B15" s="6">
        <v>4092214.82</v>
      </c>
      <c r="C15" s="6">
        <v>3703306.22</v>
      </c>
      <c r="D15" s="6">
        <v>3713825.31</v>
      </c>
      <c r="E15" s="6">
        <v>4197802.33</v>
      </c>
      <c r="F15" s="6">
        <v>5483069.9400000004</v>
      </c>
      <c r="G15" s="6">
        <v>9661228.4299999997</v>
      </c>
      <c r="H15" s="6">
        <v>11646837.789999999</v>
      </c>
      <c r="I15" s="6">
        <v>16850469.399999999</v>
      </c>
      <c r="J15" s="6">
        <v>24883718.780000001</v>
      </c>
      <c r="K15" s="6">
        <v>33111532.800000001</v>
      </c>
      <c r="L15" s="6">
        <v>39541919.700000003</v>
      </c>
    </row>
    <row r="16" spans="1:12" x14ac:dyDescent="0.25">
      <c r="A16" s="1" t="s">
        <v>0</v>
      </c>
      <c r="B16" s="6">
        <v>60160856.380000003</v>
      </c>
      <c r="C16" s="6">
        <v>54928842.289999999</v>
      </c>
      <c r="D16" s="6">
        <v>52919917.460000001</v>
      </c>
      <c r="E16" s="6">
        <v>55839719.380000003</v>
      </c>
      <c r="F16" s="6">
        <v>64227293.57</v>
      </c>
      <c r="G16" s="6">
        <v>111790017.23</v>
      </c>
      <c r="H16" s="6">
        <v>135984089.61000001</v>
      </c>
      <c r="I16" s="6">
        <v>143941550.08000001</v>
      </c>
      <c r="J16" s="6">
        <v>207761961.12</v>
      </c>
      <c r="K16" s="6">
        <v>252550869.47999999</v>
      </c>
      <c r="L16" s="6">
        <v>272907218.62</v>
      </c>
    </row>
    <row r="17" spans="1:12" x14ac:dyDescent="0.25">
      <c r="A17" s="1" t="s">
        <v>14</v>
      </c>
      <c r="B17" s="6">
        <v>996036.7</v>
      </c>
      <c r="C17" s="6">
        <v>913364.46</v>
      </c>
      <c r="D17" s="6">
        <v>823878.79</v>
      </c>
      <c r="E17" s="6">
        <v>855547.32</v>
      </c>
      <c r="F17" s="6">
        <v>975997.95</v>
      </c>
      <c r="G17" s="6">
        <v>1390848.22</v>
      </c>
      <c r="H17" s="6">
        <v>1476368.14</v>
      </c>
      <c r="I17" s="6">
        <v>1982891.04</v>
      </c>
      <c r="J17" s="6">
        <v>2838250.11</v>
      </c>
      <c r="K17" s="6">
        <v>3515624.99</v>
      </c>
      <c r="L17" s="6">
        <v>4421027.95</v>
      </c>
    </row>
    <row r="18" spans="1:12" x14ac:dyDescent="0.25">
      <c r="A18" s="1" t="s">
        <v>6</v>
      </c>
      <c r="B18" s="6">
        <v>9007604.8000000007</v>
      </c>
      <c r="C18" s="6">
        <v>8547825.4000000004</v>
      </c>
      <c r="D18" s="6">
        <v>8761456.3300000001</v>
      </c>
      <c r="E18" s="6">
        <v>9509819.6099999994</v>
      </c>
      <c r="F18" s="6">
        <v>11710213.67</v>
      </c>
      <c r="G18" s="6">
        <v>22650000.199999999</v>
      </c>
      <c r="H18" s="6">
        <v>28556642.100000001</v>
      </c>
      <c r="I18" s="6">
        <v>36499593.609999999</v>
      </c>
      <c r="J18" s="6">
        <v>55892832.68</v>
      </c>
      <c r="K18" s="6">
        <v>73987039.629999995</v>
      </c>
      <c r="L18" s="6">
        <v>87296735.329999998</v>
      </c>
    </row>
    <row r="19" spans="1:12" x14ac:dyDescent="0.25">
      <c r="A19" s="1" t="s">
        <v>5</v>
      </c>
      <c r="B19" s="6">
        <v>4123590.34</v>
      </c>
      <c r="C19" s="6">
        <v>3758633.94</v>
      </c>
      <c r="D19" s="6">
        <v>3795408.01</v>
      </c>
      <c r="E19" s="6">
        <v>3891658.26</v>
      </c>
      <c r="F19" s="6">
        <v>4655502.28</v>
      </c>
      <c r="G19" s="6">
        <v>7968042.2599999998</v>
      </c>
      <c r="H19" s="6">
        <v>9955714.3399999999</v>
      </c>
      <c r="I19" s="6">
        <v>14639186.16</v>
      </c>
      <c r="J19" s="6">
        <v>23058538.440000001</v>
      </c>
      <c r="K19" s="6">
        <v>31088941.190000001</v>
      </c>
      <c r="L19" s="6">
        <v>38273879.579999998</v>
      </c>
    </row>
    <row r="20" spans="1:12" x14ac:dyDescent="0.25">
      <c r="A20" s="1" t="s">
        <v>9</v>
      </c>
      <c r="B20" s="6">
        <v>16664197.74</v>
      </c>
      <c r="C20" s="6">
        <v>15265228.359999999</v>
      </c>
      <c r="D20" s="6">
        <v>14806383.58</v>
      </c>
      <c r="E20" s="6">
        <v>16647957.800000001</v>
      </c>
      <c r="F20" s="6">
        <v>19925692.300000001</v>
      </c>
      <c r="G20" s="6">
        <v>33861631.219999999</v>
      </c>
      <c r="H20" s="6">
        <v>42516375.079999998</v>
      </c>
      <c r="I20" s="6">
        <v>49736064.979999997</v>
      </c>
      <c r="J20" s="6">
        <v>72378764.900000006</v>
      </c>
      <c r="K20" s="6">
        <v>90354478.040000007</v>
      </c>
      <c r="L20" s="6">
        <v>102460784.33</v>
      </c>
    </row>
    <row r="21" spans="1:12" x14ac:dyDescent="0.25">
      <c r="A21" s="1" t="s">
        <v>4</v>
      </c>
      <c r="B21" s="6">
        <v>782270.2</v>
      </c>
      <c r="C21" s="6">
        <v>770029.09</v>
      </c>
      <c r="D21" s="6">
        <v>774985.44</v>
      </c>
      <c r="E21" s="6">
        <v>861571.42</v>
      </c>
      <c r="F21" s="6">
        <v>1014977.92</v>
      </c>
      <c r="G21" s="6">
        <v>2314743.0699999998</v>
      </c>
      <c r="H21" s="6">
        <v>3315310.05</v>
      </c>
      <c r="I21" s="6">
        <v>5229310.3</v>
      </c>
      <c r="J21" s="6">
        <v>8025260.5499999998</v>
      </c>
      <c r="K21" s="6">
        <v>11270383.25</v>
      </c>
      <c r="L21" s="6">
        <v>14505951.74</v>
      </c>
    </row>
    <row r="22" spans="1:12" x14ac:dyDescent="0.25">
      <c r="A22" s="1" t="s">
        <v>10</v>
      </c>
      <c r="B22" s="6">
        <v>597110.30000000005</v>
      </c>
      <c r="C22" s="6">
        <v>513493.49</v>
      </c>
      <c r="D22" s="6">
        <v>528109.25</v>
      </c>
      <c r="E22" s="6">
        <v>639705.27</v>
      </c>
      <c r="F22" s="6">
        <v>773014.45</v>
      </c>
      <c r="G22" s="6">
        <v>1106060.3600000001</v>
      </c>
      <c r="H22" s="6">
        <v>1320952.23</v>
      </c>
      <c r="I22" s="6">
        <v>1785205.69</v>
      </c>
      <c r="J22" s="6">
        <v>2807514.77</v>
      </c>
      <c r="K22" s="6">
        <v>3953067.86</v>
      </c>
      <c r="L22" s="6">
        <v>4974391.88</v>
      </c>
    </row>
    <row r="23" spans="1:12" x14ac:dyDescent="0.25">
      <c r="A23" s="1" t="s">
        <v>11</v>
      </c>
      <c r="B23" s="6">
        <v>1216847.6499999999</v>
      </c>
      <c r="C23" s="6">
        <v>1066442.05</v>
      </c>
      <c r="D23" s="6">
        <v>1055409.95</v>
      </c>
      <c r="E23" s="6">
        <v>1074927.21</v>
      </c>
      <c r="F23" s="6">
        <v>1386215.58</v>
      </c>
      <c r="G23" s="6">
        <v>2663758.3199999998</v>
      </c>
      <c r="H23" s="6">
        <v>3565518.69</v>
      </c>
      <c r="I23" s="6">
        <v>5341397.07</v>
      </c>
      <c r="J23" s="6">
        <v>8341812.5</v>
      </c>
      <c r="K23" s="6">
        <v>12821706.439999999</v>
      </c>
      <c r="L23" s="6">
        <v>18027342.030000001</v>
      </c>
    </row>
    <row r="24" spans="1:12" x14ac:dyDescent="0.25">
      <c r="A24" s="1" t="s">
        <v>16</v>
      </c>
      <c r="B24" s="6">
        <v>873042.63</v>
      </c>
      <c r="C24" s="6">
        <v>835243.2</v>
      </c>
      <c r="D24" s="6">
        <v>892424.25</v>
      </c>
      <c r="E24" s="6">
        <v>1043234.53</v>
      </c>
      <c r="F24" s="6">
        <v>1039541.59</v>
      </c>
      <c r="G24" s="6">
        <v>1705784.36</v>
      </c>
      <c r="H24" s="6">
        <v>1466280.93</v>
      </c>
      <c r="I24" s="6">
        <v>1705626.94</v>
      </c>
      <c r="J24" s="6">
        <v>2229329.7200000002</v>
      </c>
      <c r="K24" s="6">
        <v>2764475.56</v>
      </c>
      <c r="L24" s="6">
        <v>3553768.47</v>
      </c>
    </row>
    <row r="25" spans="1:12" x14ac:dyDescent="0.25">
      <c r="A25" s="1" t="s">
        <v>1</v>
      </c>
      <c r="B25" s="6">
        <v>1482170.4</v>
      </c>
      <c r="C25" s="6">
        <v>1480829.06</v>
      </c>
      <c r="D25" s="6">
        <v>1299085.67</v>
      </c>
      <c r="E25" s="6">
        <v>1382164.04</v>
      </c>
      <c r="F25" s="6">
        <v>1589134.73</v>
      </c>
      <c r="G25" s="6">
        <v>3128259.38</v>
      </c>
      <c r="H25" s="6">
        <v>3065522.31</v>
      </c>
      <c r="I25" s="6">
        <v>2929350.9</v>
      </c>
      <c r="J25" s="6">
        <v>3924434.12</v>
      </c>
      <c r="K25" s="6">
        <v>5079895.5599999996</v>
      </c>
      <c r="L25" s="6">
        <v>5793754.2699999996</v>
      </c>
    </row>
    <row r="26" spans="1:12" x14ac:dyDescent="0.25">
      <c r="A26" s="1" t="s">
        <v>21</v>
      </c>
      <c r="B26" s="6">
        <v>973337.18</v>
      </c>
      <c r="C26" s="6">
        <v>966437.42</v>
      </c>
      <c r="D26" s="6">
        <v>1018778.94</v>
      </c>
      <c r="E26" s="6">
        <v>1305881.8600000001</v>
      </c>
      <c r="F26" s="6">
        <v>1584900.28</v>
      </c>
      <c r="G26" s="6">
        <v>1955362.16</v>
      </c>
      <c r="H26" s="6">
        <v>2045673.19</v>
      </c>
      <c r="I26" s="6">
        <v>2322242.5</v>
      </c>
      <c r="J26" s="6">
        <v>2973320.09</v>
      </c>
      <c r="K26" s="6">
        <v>3001026.17</v>
      </c>
      <c r="L26" s="6">
        <v>2979411.86</v>
      </c>
    </row>
    <row r="27" spans="1:12" x14ac:dyDescent="0.25">
      <c r="A27" s="9" t="s">
        <v>2</v>
      </c>
      <c r="B27" s="12">
        <v>131757163.41000001</v>
      </c>
      <c r="C27" s="12">
        <v>121625628.31</v>
      </c>
      <c r="D27" s="12">
        <v>119387987.77000001</v>
      </c>
      <c r="E27" s="12">
        <v>129504184.77</v>
      </c>
      <c r="F27" s="12">
        <v>154284797.67999998</v>
      </c>
      <c r="G27" s="12">
        <v>277657463.88</v>
      </c>
      <c r="H27" s="12">
        <v>334403971.50999999</v>
      </c>
      <c r="I27" s="12">
        <v>389302809.49000007</v>
      </c>
      <c r="J27" s="12">
        <v>567014653.19000006</v>
      </c>
      <c r="K27" s="12">
        <v>720967844.15999997</v>
      </c>
      <c r="L27" s="12">
        <v>822022870.5200001</v>
      </c>
    </row>
    <row r="29" spans="1:12" x14ac:dyDescent="0.25">
      <c r="A29" s="4" t="s">
        <v>22</v>
      </c>
    </row>
    <row r="30" spans="1:12" x14ac:dyDescent="0.25">
      <c r="A30" s="5" t="str">
        <f>+'Q1'!A30</f>
        <v>Situação da base de dados em 7/fevereiro/2026</v>
      </c>
    </row>
    <row r="31" spans="1:12" x14ac:dyDescent="0.25">
      <c r="A31" s="5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1DD7-3C8F-411B-A8B9-EA955077D66B}">
  <dimension ref="A1:L31"/>
  <sheetViews>
    <sheetView showGridLines="0" workbookViewId="0">
      <selection activeCell="L27" sqref="L27"/>
    </sheetView>
  </sheetViews>
  <sheetFormatPr defaultRowHeight="15" x14ac:dyDescent="0.25"/>
  <cols>
    <col min="1" max="1" width="18.5703125" customWidth="1"/>
    <col min="2" max="12" width="10.42578125" customWidth="1"/>
  </cols>
  <sheetData>
    <row r="1" spans="1:12" x14ac:dyDescent="0.25">
      <c r="A1" s="11" t="s">
        <v>35</v>
      </c>
    </row>
    <row r="2" spans="1:12" x14ac:dyDescent="0.25">
      <c r="A2" s="11" t="s">
        <v>36</v>
      </c>
    </row>
    <row r="5" spans="1:12" x14ac:dyDescent="0.25">
      <c r="B5" s="2">
        <v>2015</v>
      </c>
      <c r="C5" s="2">
        <v>2016</v>
      </c>
      <c r="D5" s="2">
        <v>2017</v>
      </c>
      <c r="E5" s="2">
        <v>2018</v>
      </c>
      <c r="F5" s="2">
        <v>2019</v>
      </c>
      <c r="G5" s="2">
        <v>2020</v>
      </c>
      <c r="H5" s="2">
        <v>2021</v>
      </c>
      <c r="I5" s="2">
        <v>2022</v>
      </c>
      <c r="J5" s="2">
        <v>2023</v>
      </c>
      <c r="K5" s="2">
        <v>2024</v>
      </c>
      <c r="L5" s="2">
        <v>2025</v>
      </c>
    </row>
    <row r="6" spans="1:12" x14ac:dyDescent="0.25">
      <c r="A6" s="1" t="s">
        <v>8</v>
      </c>
      <c r="B6" s="3">
        <v>702</v>
      </c>
      <c r="C6" s="3">
        <v>860</v>
      </c>
      <c r="D6" s="3">
        <v>1480</v>
      </c>
      <c r="E6" s="3">
        <v>3699</v>
      </c>
      <c r="F6" s="3">
        <v>6166</v>
      </c>
      <c r="G6" s="3">
        <v>3977</v>
      </c>
      <c r="H6" s="3">
        <v>4025</v>
      </c>
      <c r="I6" s="3">
        <v>21250</v>
      </c>
      <c r="J6" s="3">
        <v>19153</v>
      </c>
      <c r="K6" s="3">
        <v>10051</v>
      </c>
      <c r="L6" s="3">
        <v>5094</v>
      </c>
    </row>
    <row r="7" spans="1:12" x14ac:dyDescent="0.25">
      <c r="A7" s="1" t="s">
        <v>7</v>
      </c>
      <c r="B7" s="3">
        <v>2672</v>
      </c>
      <c r="C7" s="3">
        <v>2673</v>
      </c>
      <c r="D7" s="3">
        <v>3068</v>
      </c>
      <c r="E7" s="3">
        <v>6643</v>
      </c>
      <c r="F7" s="3">
        <v>10915</v>
      </c>
      <c r="G7" s="3">
        <v>9584</v>
      </c>
      <c r="H7" s="3">
        <v>9007</v>
      </c>
      <c r="I7" s="3">
        <v>35503</v>
      </c>
      <c r="J7" s="3">
        <v>24832</v>
      </c>
      <c r="K7" s="3">
        <v>9949</v>
      </c>
      <c r="L7" s="3">
        <v>3065</v>
      </c>
    </row>
    <row r="8" spans="1:12" x14ac:dyDescent="0.25">
      <c r="A8" s="1" t="s">
        <v>12</v>
      </c>
      <c r="B8" s="3">
        <v>811</v>
      </c>
      <c r="C8" s="3">
        <v>871</v>
      </c>
      <c r="D8" s="3">
        <v>1544</v>
      </c>
      <c r="E8" s="3">
        <v>3514</v>
      </c>
      <c r="F8" s="3">
        <v>5908</v>
      </c>
      <c r="G8" s="3">
        <v>4596</v>
      </c>
      <c r="H8" s="3">
        <v>4628</v>
      </c>
      <c r="I8" s="3">
        <v>24280</v>
      </c>
      <c r="J8" s="3">
        <v>16030</v>
      </c>
      <c r="K8" s="3">
        <v>9157</v>
      </c>
      <c r="L8" s="3">
        <v>5778</v>
      </c>
    </row>
    <row r="9" spans="1:12" x14ac:dyDescent="0.25">
      <c r="A9" s="1" t="s">
        <v>18</v>
      </c>
      <c r="B9" s="3">
        <v>389</v>
      </c>
      <c r="C9" s="3">
        <v>373</v>
      </c>
      <c r="D9" s="3">
        <v>458</v>
      </c>
      <c r="E9" s="3">
        <v>664</v>
      </c>
      <c r="F9" s="3">
        <v>1062</v>
      </c>
      <c r="G9" s="3">
        <v>712</v>
      </c>
      <c r="H9" s="3">
        <v>949</v>
      </c>
      <c r="I9" s="3">
        <v>3047</v>
      </c>
      <c r="J9" s="3">
        <v>2385</v>
      </c>
      <c r="K9" s="3">
        <v>1430</v>
      </c>
      <c r="L9" s="3">
        <v>1503</v>
      </c>
    </row>
    <row r="10" spans="1:12" x14ac:dyDescent="0.25">
      <c r="A10" s="1" t="s">
        <v>17</v>
      </c>
      <c r="B10" s="3">
        <v>246</v>
      </c>
      <c r="C10" s="3">
        <v>293</v>
      </c>
      <c r="D10" s="3">
        <v>515</v>
      </c>
      <c r="E10" s="3">
        <v>892</v>
      </c>
      <c r="F10" s="3">
        <v>1397</v>
      </c>
      <c r="G10" s="3">
        <v>1262</v>
      </c>
      <c r="H10" s="3">
        <v>1517</v>
      </c>
      <c r="I10" s="3">
        <v>5947</v>
      </c>
      <c r="J10" s="3">
        <v>6629</v>
      </c>
      <c r="K10" s="3">
        <v>3792</v>
      </c>
      <c r="L10" s="3">
        <v>1822</v>
      </c>
    </row>
    <row r="11" spans="1:12" x14ac:dyDescent="0.25">
      <c r="A11" s="1" t="s">
        <v>20</v>
      </c>
      <c r="B11" s="3">
        <v>854</v>
      </c>
      <c r="C11" s="3">
        <v>772</v>
      </c>
      <c r="D11" s="3">
        <v>1093</v>
      </c>
      <c r="E11" s="3">
        <v>2072</v>
      </c>
      <c r="F11" s="3">
        <v>2773</v>
      </c>
      <c r="G11" s="3">
        <v>2535</v>
      </c>
      <c r="H11" s="3">
        <v>1993</v>
      </c>
      <c r="I11" s="3">
        <v>14153</v>
      </c>
      <c r="J11" s="3">
        <v>13315</v>
      </c>
      <c r="K11" s="3">
        <v>6915</v>
      </c>
      <c r="L11" s="3">
        <v>2891</v>
      </c>
    </row>
    <row r="12" spans="1:12" x14ac:dyDescent="0.25">
      <c r="A12" s="1" t="s">
        <v>13</v>
      </c>
      <c r="B12" s="3">
        <v>217</v>
      </c>
      <c r="C12" s="3">
        <v>203</v>
      </c>
      <c r="D12" s="3">
        <v>228</v>
      </c>
      <c r="E12" s="3">
        <v>541</v>
      </c>
      <c r="F12" s="3">
        <v>1267</v>
      </c>
      <c r="G12" s="3">
        <v>771</v>
      </c>
      <c r="H12" s="3">
        <v>967</v>
      </c>
      <c r="I12" s="3">
        <v>3983</v>
      </c>
      <c r="J12" s="3">
        <v>8375</v>
      </c>
      <c r="K12" s="3">
        <v>6715</v>
      </c>
      <c r="L12" s="3">
        <v>3388</v>
      </c>
    </row>
    <row r="13" spans="1:12" x14ac:dyDescent="0.25">
      <c r="A13" s="1" t="s">
        <v>19</v>
      </c>
      <c r="B13" s="3">
        <v>5793</v>
      </c>
      <c r="C13" s="3">
        <v>6644</v>
      </c>
      <c r="D13" s="3">
        <v>8613</v>
      </c>
      <c r="E13" s="3">
        <v>14188</v>
      </c>
      <c r="F13" s="3">
        <v>17833</v>
      </c>
      <c r="G13" s="3">
        <v>15327</v>
      </c>
      <c r="H13" s="3">
        <v>15718</v>
      </c>
      <c r="I13" s="3">
        <v>41673</v>
      </c>
      <c r="J13" s="3">
        <v>30166</v>
      </c>
      <c r="K13" s="3">
        <v>21553</v>
      </c>
      <c r="L13" s="3">
        <v>9608</v>
      </c>
    </row>
    <row r="14" spans="1:12" x14ac:dyDescent="0.25">
      <c r="A14" s="1" t="s">
        <v>15</v>
      </c>
      <c r="B14" s="3">
        <v>194</v>
      </c>
      <c r="C14" s="3">
        <v>172</v>
      </c>
      <c r="D14" s="3">
        <v>231</v>
      </c>
      <c r="E14" s="3">
        <v>382</v>
      </c>
      <c r="F14" s="3">
        <v>487</v>
      </c>
      <c r="G14" s="3">
        <v>326</v>
      </c>
      <c r="H14" s="3">
        <v>412</v>
      </c>
      <c r="I14" s="3">
        <v>2060</v>
      </c>
      <c r="J14" s="3">
        <v>2259</v>
      </c>
      <c r="K14" s="3">
        <v>2276</v>
      </c>
      <c r="L14" s="3">
        <v>3540</v>
      </c>
    </row>
    <row r="15" spans="1:12" x14ac:dyDescent="0.25">
      <c r="A15" s="1" t="s">
        <v>3</v>
      </c>
      <c r="B15" s="3">
        <v>1222</v>
      </c>
      <c r="C15" s="3">
        <v>1092</v>
      </c>
      <c r="D15" s="3">
        <v>1387</v>
      </c>
      <c r="E15" s="3">
        <v>3145</v>
      </c>
      <c r="F15" s="3">
        <v>5391</v>
      </c>
      <c r="G15" s="3">
        <v>4325</v>
      </c>
      <c r="H15" s="3">
        <v>3907</v>
      </c>
      <c r="I15" s="3">
        <v>23121</v>
      </c>
      <c r="J15" s="3">
        <v>25652</v>
      </c>
      <c r="K15" s="3">
        <v>14849</v>
      </c>
      <c r="L15" s="3">
        <v>4777</v>
      </c>
    </row>
    <row r="16" spans="1:12" x14ac:dyDescent="0.25">
      <c r="A16" s="1" t="s">
        <v>0</v>
      </c>
      <c r="B16" s="3">
        <v>22555</v>
      </c>
      <c r="C16" s="3">
        <v>20940</v>
      </c>
      <c r="D16" s="3">
        <v>28262</v>
      </c>
      <c r="E16" s="3">
        <v>46731</v>
      </c>
      <c r="F16" s="3">
        <v>66316</v>
      </c>
      <c r="G16" s="3">
        <v>64752</v>
      </c>
      <c r="H16" s="3">
        <v>46336</v>
      </c>
      <c r="I16" s="3">
        <v>172056</v>
      </c>
      <c r="J16" s="3">
        <v>117203</v>
      </c>
      <c r="K16" s="3">
        <v>65984</v>
      </c>
      <c r="L16" s="3">
        <v>56269</v>
      </c>
    </row>
    <row r="17" spans="1:12" x14ac:dyDescent="0.25">
      <c r="A17" s="1" t="s">
        <v>14</v>
      </c>
      <c r="B17" s="3">
        <v>165</v>
      </c>
      <c r="C17" s="3">
        <v>181</v>
      </c>
      <c r="D17" s="3">
        <v>210</v>
      </c>
      <c r="E17" s="3">
        <v>271</v>
      </c>
      <c r="F17" s="3">
        <v>406</v>
      </c>
      <c r="G17" s="3">
        <v>362</v>
      </c>
      <c r="H17" s="3">
        <v>374</v>
      </c>
      <c r="I17" s="3">
        <v>1816</v>
      </c>
      <c r="J17" s="3">
        <v>5938</v>
      </c>
      <c r="K17" s="3">
        <v>3950</v>
      </c>
      <c r="L17" s="3">
        <v>768</v>
      </c>
    </row>
    <row r="18" spans="1:12" x14ac:dyDescent="0.25">
      <c r="A18" s="1" t="s">
        <v>6</v>
      </c>
      <c r="B18" s="3">
        <v>2874</v>
      </c>
      <c r="C18" s="3">
        <v>3221</v>
      </c>
      <c r="D18" s="3">
        <v>5478</v>
      </c>
      <c r="E18" s="3">
        <v>11254</v>
      </c>
      <c r="F18" s="3">
        <v>15570</v>
      </c>
      <c r="G18" s="3">
        <v>12733</v>
      </c>
      <c r="H18" s="3">
        <v>11630</v>
      </c>
      <c r="I18" s="3">
        <v>57537</v>
      </c>
      <c r="J18" s="3">
        <v>53000</v>
      </c>
      <c r="K18" s="3">
        <v>33332</v>
      </c>
      <c r="L18" s="3">
        <v>19499</v>
      </c>
    </row>
    <row r="19" spans="1:12" x14ac:dyDescent="0.25">
      <c r="A19" s="1" t="s">
        <v>5</v>
      </c>
      <c r="B19" s="3">
        <v>805</v>
      </c>
      <c r="C19" s="3">
        <v>826</v>
      </c>
      <c r="D19" s="3">
        <v>1139</v>
      </c>
      <c r="E19" s="3">
        <v>2571</v>
      </c>
      <c r="F19" s="3">
        <v>4895</v>
      </c>
      <c r="G19" s="3">
        <v>3382</v>
      </c>
      <c r="H19" s="3">
        <v>3224</v>
      </c>
      <c r="I19" s="3">
        <v>14910</v>
      </c>
      <c r="J19" s="3">
        <v>16763</v>
      </c>
      <c r="K19" s="3">
        <v>11426</v>
      </c>
      <c r="L19" s="3">
        <v>9105</v>
      </c>
    </row>
    <row r="20" spans="1:12" x14ac:dyDescent="0.25">
      <c r="A20" s="1" t="s">
        <v>9</v>
      </c>
      <c r="B20" s="3">
        <v>2634</v>
      </c>
      <c r="C20" s="3">
        <v>3104</v>
      </c>
      <c r="D20" s="3">
        <v>4925</v>
      </c>
      <c r="E20" s="3">
        <v>7403</v>
      </c>
      <c r="F20" s="3">
        <v>14531</v>
      </c>
      <c r="G20" s="3">
        <v>16656</v>
      </c>
      <c r="H20" s="3">
        <v>10717</v>
      </c>
      <c r="I20" s="3">
        <v>45269</v>
      </c>
      <c r="J20" s="3">
        <v>44211</v>
      </c>
      <c r="K20" s="3">
        <v>23423</v>
      </c>
      <c r="L20" s="3">
        <v>14825</v>
      </c>
    </row>
    <row r="21" spans="1:12" x14ac:dyDescent="0.25">
      <c r="A21" s="1" t="s">
        <v>4</v>
      </c>
      <c r="B21" s="3">
        <v>395</v>
      </c>
      <c r="C21" s="3">
        <v>314</v>
      </c>
      <c r="D21" s="3">
        <v>383</v>
      </c>
      <c r="E21" s="3">
        <v>935</v>
      </c>
      <c r="F21" s="3">
        <v>1737</v>
      </c>
      <c r="G21" s="3">
        <v>1116</v>
      </c>
      <c r="H21" s="3">
        <v>1359</v>
      </c>
      <c r="I21" s="3">
        <v>7872</v>
      </c>
      <c r="J21" s="3">
        <v>7273</v>
      </c>
      <c r="K21" s="3">
        <v>4275</v>
      </c>
      <c r="L21" s="3">
        <v>2048</v>
      </c>
    </row>
    <row r="22" spans="1:12" x14ac:dyDescent="0.25">
      <c r="A22" s="1" t="s">
        <v>10</v>
      </c>
      <c r="B22" s="3">
        <v>191</v>
      </c>
      <c r="C22" s="3">
        <v>158</v>
      </c>
      <c r="D22" s="3">
        <v>258</v>
      </c>
      <c r="E22" s="3">
        <v>364</v>
      </c>
      <c r="F22" s="3">
        <v>618</v>
      </c>
      <c r="G22" s="3">
        <v>384</v>
      </c>
      <c r="H22" s="3">
        <v>434</v>
      </c>
      <c r="I22" s="3">
        <v>2976</v>
      </c>
      <c r="J22" s="3">
        <v>3941</v>
      </c>
      <c r="K22" s="3">
        <v>2575</v>
      </c>
      <c r="L22" s="3">
        <v>1380</v>
      </c>
    </row>
    <row r="23" spans="1:12" x14ac:dyDescent="0.25">
      <c r="A23" s="1" t="s">
        <v>11</v>
      </c>
      <c r="B23" s="3">
        <v>462</v>
      </c>
      <c r="C23" s="3">
        <v>344</v>
      </c>
      <c r="D23" s="3">
        <v>435</v>
      </c>
      <c r="E23" s="3">
        <v>829</v>
      </c>
      <c r="F23" s="3">
        <v>1879</v>
      </c>
      <c r="G23" s="3">
        <v>1519</v>
      </c>
      <c r="H23" s="3">
        <v>1544</v>
      </c>
      <c r="I23" s="3">
        <v>8601</v>
      </c>
      <c r="J23" s="3">
        <v>7776</v>
      </c>
      <c r="K23" s="3">
        <v>4535</v>
      </c>
      <c r="L23" s="3">
        <v>3912</v>
      </c>
    </row>
    <row r="24" spans="1:12" x14ac:dyDescent="0.25">
      <c r="A24" s="1" t="s">
        <v>16</v>
      </c>
      <c r="B24" s="3">
        <v>301</v>
      </c>
      <c r="C24" s="3">
        <v>320</v>
      </c>
      <c r="D24" s="3">
        <v>294</v>
      </c>
      <c r="E24" s="3">
        <v>430</v>
      </c>
      <c r="F24" s="3">
        <v>499</v>
      </c>
      <c r="G24" s="3">
        <v>360</v>
      </c>
      <c r="H24" s="3">
        <v>414</v>
      </c>
      <c r="I24" s="3">
        <v>1489</v>
      </c>
      <c r="J24" s="3">
        <v>1702</v>
      </c>
      <c r="K24" s="3">
        <v>1291</v>
      </c>
      <c r="L24" s="3">
        <v>1356</v>
      </c>
    </row>
    <row r="25" spans="1:12" x14ac:dyDescent="0.25">
      <c r="A25" s="1" t="s">
        <v>1</v>
      </c>
      <c r="B25" s="3">
        <v>499</v>
      </c>
      <c r="C25" s="3">
        <v>451</v>
      </c>
      <c r="D25" s="3">
        <v>621</v>
      </c>
      <c r="E25" s="3">
        <v>1217</v>
      </c>
      <c r="F25" s="3">
        <v>1190</v>
      </c>
      <c r="G25" s="3">
        <v>779</v>
      </c>
      <c r="H25" s="3">
        <v>798</v>
      </c>
      <c r="I25" s="3">
        <v>3549</v>
      </c>
      <c r="J25" s="3">
        <v>4628</v>
      </c>
      <c r="K25" s="3">
        <v>2656</v>
      </c>
      <c r="L25" s="3">
        <v>1858</v>
      </c>
    </row>
    <row r="26" spans="1:12" x14ac:dyDescent="0.25">
      <c r="A26" s="1" t="s">
        <v>21</v>
      </c>
      <c r="B26" s="3">
        <v>8699</v>
      </c>
      <c r="C26" s="3">
        <v>3952</v>
      </c>
      <c r="D26" s="3">
        <v>4473</v>
      </c>
      <c r="E26" s="3">
        <v>4623</v>
      </c>
      <c r="F26" s="3">
        <v>4150</v>
      </c>
      <c r="G26" s="3">
        <v>3275</v>
      </c>
      <c r="H26" s="3">
        <v>3711</v>
      </c>
      <c r="I26" s="3">
        <v>4281</v>
      </c>
      <c r="J26" s="3">
        <v>42955</v>
      </c>
      <c r="K26" s="3">
        <v>25076</v>
      </c>
      <c r="L26" s="3">
        <v>5138</v>
      </c>
    </row>
    <row r="27" spans="1:12" x14ac:dyDescent="0.25">
      <c r="A27" s="9" t="s">
        <v>2</v>
      </c>
      <c r="B27" s="10">
        <v>52680</v>
      </c>
      <c r="C27" s="10">
        <v>47764</v>
      </c>
      <c r="D27" s="10">
        <v>65095</v>
      </c>
      <c r="E27" s="10">
        <v>112368</v>
      </c>
      <c r="F27" s="10">
        <v>164990</v>
      </c>
      <c r="G27" s="10">
        <v>148733</v>
      </c>
      <c r="H27" s="10">
        <v>123664</v>
      </c>
      <c r="I27" s="10">
        <v>495373</v>
      </c>
      <c r="J27" s="10">
        <v>454186</v>
      </c>
      <c r="K27" s="10">
        <v>265210</v>
      </c>
      <c r="L27" s="10">
        <v>157624</v>
      </c>
    </row>
    <row r="29" spans="1:12" x14ac:dyDescent="0.25">
      <c r="A29" s="4" t="s">
        <v>22</v>
      </c>
    </row>
    <row r="30" spans="1:12" x14ac:dyDescent="0.25">
      <c r="A30" s="5" t="str">
        <f>+'Q1'!A30</f>
        <v>Situação da base de dados em 7/fevereiro/2026</v>
      </c>
    </row>
    <row r="31" spans="1:12" x14ac:dyDescent="0.25">
      <c r="A31" s="5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CB93-1113-40D5-8BEF-C7DF0D129C74}">
  <dimension ref="A1:M24"/>
  <sheetViews>
    <sheetView showGridLines="0" workbookViewId="0"/>
  </sheetViews>
  <sheetFormatPr defaultRowHeight="15" x14ac:dyDescent="0.25"/>
  <cols>
    <col min="1" max="1" width="10.7109375" customWidth="1"/>
    <col min="2" max="2" width="16.28515625" customWidth="1"/>
    <col min="3" max="13" width="10.28515625" customWidth="1"/>
  </cols>
  <sheetData>
    <row r="1" spans="1:13" x14ac:dyDescent="0.25">
      <c r="A1" s="11" t="s">
        <v>35</v>
      </c>
    </row>
    <row r="2" spans="1:13" x14ac:dyDescent="0.25">
      <c r="A2" s="11" t="s">
        <v>52</v>
      </c>
    </row>
    <row r="5" spans="1:13" x14ac:dyDescent="0.25">
      <c r="C5" s="2">
        <v>2015</v>
      </c>
      <c r="D5" s="2">
        <v>2016</v>
      </c>
      <c r="E5" s="2">
        <v>2017</v>
      </c>
      <c r="F5" s="2">
        <v>2018</v>
      </c>
      <c r="G5" s="2">
        <v>2019</v>
      </c>
      <c r="H5" s="2">
        <v>2020</v>
      </c>
      <c r="I5" s="2">
        <v>2021</v>
      </c>
      <c r="J5" s="2">
        <v>2022</v>
      </c>
      <c r="K5" s="2">
        <v>2023</v>
      </c>
      <c r="L5" s="2">
        <v>2024</v>
      </c>
      <c r="M5" s="2">
        <v>2025</v>
      </c>
    </row>
    <row r="6" spans="1:13" x14ac:dyDescent="0.25">
      <c r="A6" s="17" t="s">
        <v>33</v>
      </c>
      <c r="B6" s="1" t="s">
        <v>28</v>
      </c>
      <c r="C6" s="3">
        <v>3654</v>
      </c>
      <c r="D6" s="3">
        <v>3434</v>
      </c>
      <c r="E6" s="3">
        <v>4438</v>
      </c>
      <c r="F6" s="3">
        <v>7101</v>
      </c>
      <c r="G6" s="3">
        <v>10169</v>
      </c>
      <c r="H6" s="3">
        <v>10727</v>
      </c>
      <c r="I6" s="3">
        <v>9957</v>
      </c>
      <c r="J6" s="3">
        <v>47051</v>
      </c>
      <c r="K6" s="3">
        <v>39572</v>
      </c>
      <c r="L6" s="3">
        <v>22016</v>
      </c>
      <c r="M6" s="3">
        <v>11676</v>
      </c>
    </row>
    <row r="7" spans="1:13" x14ac:dyDescent="0.25">
      <c r="A7" s="18"/>
      <c r="B7" s="1" t="s">
        <v>27</v>
      </c>
      <c r="C7" s="3">
        <v>5912</v>
      </c>
      <c r="D7" s="3">
        <v>6308</v>
      </c>
      <c r="E7" s="3">
        <v>9399</v>
      </c>
      <c r="F7" s="3">
        <v>15350</v>
      </c>
      <c r="G7" s="3">
        <v>21985</v>
      </c>
      <c r="H7" s="3">
        <v>17748</v>
      </c>
      <c r="I7" s="3">
        <v>14355</v>
      </c>
      <c r="J7" s="3">
        <v>59857</v>
      </c>
      <c r="K7" s="3">
        <v>53974</v>
      </c>
      <c r="L7" s="3">
        <v>30731</v>
      </c>
      <c r="M7" s="3">
        <v>22342</v>
      </c>
    </row>
    <row r="8" spans="1:13" x14ac:dyDescent="0.25">
      <c r="A8" s="18"/>
      <c r="B8" s="1" t="s">
        <v>29</v>
      </c>
      <c r="C8" s="3">
        <v>4266</v>
      </c>
      <c r="D8" s="3">
        <v>4390</v>
      </c>
      <c r="E8" s="3">
        <v>7419</v>
      </c>
      <c r="F8" s="3">
        <v>13143</v>
      </c>
      <c r="G8" s="3">
        <v>18813</v>
      </c>
      <c r="H8" s="3">
        <v>15402</v>
      </c>
      <c r="I8" s="3">
        <v>10931</v>
      </c>
      <c r="J8" s="3">
        <v>51697</v>
      </c>
      <c r="K8" s="3">
        <v>45135</v>
      </c>
      <c r="L8" s="3">
        <v>26073</v>
      </c>
      <c r="M8" s="3">
        <v>17920</v>
      </c>
    </row>
    <row r="9" spans="1:13" x14ac:dyDescent="0.25">
      <c r="A9" s="18"/>
      <c r="B9" s="1" t="s">
        <v>25</v>
      </c>
      <c r="C9" s="3">
        <v>2297</v>
      </c>
      <c r="D9" s="3">
        <v>2365</v>
      </c>
      <c r="E9" s="3">
        <v>3791</v>
      </c>
      <c r="F9" s="3">
        <v>6947</v>
      </c>
      <c r="G9" s="3">
        <v>9955</v>
      </c>
      <c r="H9" s="3">
        <v>8250</v>
      </c>
      <c r="I9" s="3">
        <v>5967</v>
      </c>
      <c r="J9" s="3">
        <v>27822</v>
      </c>
      <c r="K9" s="3">
        <v>24892</v>
      </c>
      <c r="L9" s="3">
        <v>14169</v>
      </c>
      <c r="M9" s="3">
        <v>9637</v>
      </c>
    </row>
    <row r="10" spans="1:13" x14ac:dyDescent="0.25">
      <c r="A10" s="18"/>
      <c r="B10" s="1" t="s">
        <v>24</v>
      </c>
      <c r="C10" s="3">
        <v>1580</v>
      </c>
      <c r="D10" s="3">
        <v>1477</v>
      </c>
      <c r="E10" s="3">
        <v>1847</v>
      </c>
      <c r="F10" s="3">
        <v>3226</v>
      </c>
      <c r="G10" s="3">
        <v>4404</v>
      </c>
      <c r="H10" s="3">
        <v>3786</v>
      </c>
      <c r="I10" s="3">
        <v>2984</v>
      </c>
      <c r="J10" s="3">
        <v>13731</v>
      </c>
      <c r="K10" s="3">
        <v>13020</v>
      </c>
      <c r="L10" s="3">
        <v>7521</v>
      </c>
      <c r="M10" s="3">
        <v>4316</v>
      </c>
    </row>
    <row r="11" spans="1:13" x14ac:dyDescent="0.25">
      <c r="A11" s="18"/>
      <c r="B11" s="1" t="s">
        <v>26</v>
      </c>
      <c r="C11" s="3">
        <v>4063</v>
      </c>
      <c r="D11" s="3">
        <v>2173</v>
      </c>
      <c r="E11" s="3">
        <v>1717</v>
      </c>
      <c r="F11" s="3">
        <v>2267</v>
      </c>
      <c r="G11" s="3">
        <v>2698</v>
      </c>
      <c r="H11" s="3">
        <v>2530</v>
      </c>
      <c r="I11" s="3">
        <v>2486</v>
      </c>
      <c r="J11" s="3">
        <v>9935</v>
      </c>
      <c r="K11" s="3">
        <v>9869</v>
      </c>
      <c r="L11" s="3">
        <v>6882</v>
      </c>
      <c r="M11" s="3">
        <v>3212</v>
      </c>
    </row>
    <row r="12" spans="1:13" x14ac:dyDescent="0.25">
      <c r="A12" s="18"/>
      <c r="B12" s="1" t="s">
        <v>34</v>
      </c>
      <c r="C12" s="7">
        <v>21772</v>
      </c>
      <c r="D12" s="7">
        <v>20147</v>
      </c>
      <c r="E12" s="7">
        <v>28611</v>
      </c>
      <c r="F12" s="7">
        <v>48034</v>
      </c>
      <c r="G12" s="7">
        <v>68024</v>
      </c>
      <c r="H12" s="7">
        <v>58443</v>
      </c>
      <c r="I12" s="7">
        <v>46680</v>
      </c>
      <c r="J12" s="7">
        <v>210093</v>
      </c>
      <c r="K12" s="7">
        <v>186462</v>
      </c>
      <c r="L12" s="7">
        <v>107392</v>
      </c>
      <c r="M12" s="7">
        <v>69103</v>
      </c>
    </row>
    <row r="13" spans="1:13" x14ac:dyDescent="0.25">
      <c r="A13" s="17" t="s">
        <v>32</v>
      </c>
      <c r="B13" s="1" t="s">
        <v>28</v>
      </c>
      <c r="C13" s="3">
        <v>4219</v>
      </c>
      <c r="D13" s="3">
        <v>3896</v>
      </c>
      <c r="E13" s="3">
        <v>5179</v>
      </c>
      <c r="F13" s="3">
        <v>8511</v>
      </c>
      <c r="G13" s="3">
        <v>12048</v>
      </c>
      <c r="H13" s="3">
        <v>11859</v>
      </c>
      <c r="I13" s="3">
        <v>11203</v>
      </c>
      <c r="J13" s="3">
        <v>49948</v>
      </c>
      <c r="K13" s="3">
        <v>41205</v>
      </c>
      <c r="L13" s="3">
        <v>23886</v>
      </c>
      <c r="M13" s="3">
        <v>12325</v>
      </c>
    </row>
    <row r="14" spans="1:13" x14ac:dyDescent="0.25">
      <c r="A14" s="18"/>
      <c r="B14" s="1" t="s">
        <v>27</v>
      </c>
      <c r="C14" s="3">
        <v>10031</v>
      </c>
      <c r="D14" s="3">
        <v>9566</v>
      </c>
      <c r="E14" s="3">
        <v>12632</v>
      </c>
      <c r="F14" s="3">
        <v>22692</v>
      </c>
      <c r="G14" s="3">
        <v>36131</v>
      </c>
      <c r="H14" s="3">
        <v>32109</v>
      </c>
      <c r="I14" s="3">
        <v>26559</v>
      </c>
      <c r="J14" s="3">
        <v>100690</v>
      </c>
      <c r="K14" s="3">
        <v>90922</v>
      </c>
      <c r="L14" s="3">
        <v>51209</v>
      </c>
      <c r="M14" s="3">
        <v>28649</v>
      </c>
    </row>
    <row r="15" spans="1:13" x14ac:dyDescent="0.25">
      <c r="A15" s="18"/>
      <c r="B15" s="1" t="s">
        <v>29</v>
      </c>
      <c r="C15" s="3">
        <v>7081</v>
      </c>
      <c r="D15" s="3">
        <v>6857</v>
      </c>
      <c r="E15" s="3">
        <v>9295</v>
      </c>
      <c r="F15" s="3">
        <v>17873</v>
      </c>
      <c r="G15" s="3">
        <v>28148</v>
      </c>
      <c r="H15" s="3">
        <v>27866</v>
      </c>
      <c r="I15" s="3">
        <v>22681</v>
      </c>
      <c r="J15" s="3">
        <v>81158</v>
      </c>
      <c r="K15" s="3">
        <v>78159</v>
      </c>
      <c r="L15" s="3">
        <v>45675</v>
      </c>
      <c r="M15" s="3">
        <v>25496</v>
      </c>
    </row>
    <row r="16" spans="1:13" x14ac:dyDescent="0.25">
      <c r="A16" s="18"/>
      <c r="B16" s="1" t="s">
        <v>25</v>
      </c>
      <c r="C16" s="3">
        <v>3581</v>
      </c>
      <c r="D16" s="3">
        <v>3489</v>
      </c>
      <c r="E16" s="3">
        <v>4870</v>
      </c>
      <c r="F16" s="3">
        <v>8700</v>
      </c>
      <c r="G16" s="3">
        <v>12796</v>
      </c>
      <c r="H16" s="3">
        <v>11806</v>
      </c>
      <c r="I16" s="3">
        <v>10175</v>
      </c>
      <c r="J16" s="3">
        <v>35617</v>
      </c>
      <c r="K16" s="3">
        <v>37311</v>
      </c>
      <c r="L16" s="3">
        <v>23096</v>
      </c>
      <c r="M16" s="3">
        <v>14097</v>
      </c>
    </row>
    <row r="17" spans="1:13" x14ac:dyDescent="0.25">
      <c r="A17" s="18"/>
      <c r="B17" s="1" t="s">
        <v>24</v>
      </c>
      <c r="C17" s="3">
        <v>1830</v>
      </c>
      <c r="D17" s="3">
        <v>1712</v>
      </c>
      <c r="E17" s="3">
        <v>2252</v>
      </c>
      <c r="F17" s="3">
        <v>3592</v>
      </c>
      <c r="G17" s="3">
        <v>4731</v>
      </c>
      <c r="H17" s="3">
        <v>4118</v>
      </c>
      <c r="I17" s="3">
        <v>3852</v>
      </c>
      <c r="J17" s="3">
        <v>11655</v>
      </c>
      <c r="K17" s="3">
        <v>12826</v>
      </c>
      <c r="L17" s="3">
        <v>8335</v>
      </c>
      <c r="M17" s="3">
        <v>5069</v>
      </c>
    </row>
    <row r="18" spans="1:13" x14ac:dyDescent="0.25">
      <c r="A18" s="18"/>
      <c r="B18" s="1" t="s">
        <v>26</v>
      </c>
      <c r="C18" s="3">
        <v>4166</v>
      </c>
      <c r="D18" s="3">
        <v>2097</v>
      </c>
      <c r="E18" s="3">
        <v>2256</v>
      </c>
      <c r="F18" s="3">
        <v>2966</v>
      </c>
      <c r="G18" s="3">
        <v>3112</v>
      </c>
      <c r="H18" s="3">
        <v>2532</v>
      </c>
      <c r="I18" s="3">
        <v>2514</v>
      </c>
      <c r="J18" s="3">
        <v>6212</v>
      </c>
      <c r="K18" s="3">
        <v>7301</v>
      </c>
      <c r="L18" s="3">
        <v>5617</v>
      </c>
      <c r="M18" s="3">
        <v>2885</v>
      </c>
    </row>
    <row r="19" spans="1:13" x14ac:dyDescent="0.25">
      <c r="A19" s="18"/>
      <c r="B19" s="1" t="s">
        <v>34</v>
      </c>
      <c r="C19" s="7">
        <v>30908</v>
      </c>
      <c r="D19" s="7">
        <v>27617</v>
      </c>
      <c r="E19" s="7">
        <v>36484</v>
      </c>
      <c r="F19" s="7">
        <v>64334</v>
      </c>
      <c r="G19" s="7">
        <v>96966</v>
      </c>
      <c r="H19" s="7">
        <v>90290</v>
      </c>
      <c r="I19" s="7">
        <v>76984</v>
      </c>
      <c r="J19" s="7">
        <v>285280</v>
      </c>
      <c r="K19" s="7">
        <v>267724</v>
      </c>
      <c r="L19" s="7">
        <v>157818</v>
      </c>
      <c r="M19" s="7">
        <v>88521</v>
      </c>
    </row>
    <row r="20" spans="1:13" x14ac:dyDescent="0.25">
      <c r="A20" s="19" t="s">
        <v>2</v>
      </c>
      <c r="B20" s="20"/>
      <c r="C20" s="10">
        <v>52680</v>
      </c>
      <c r="D20" s="10">
        <v>47764</v>
      </c>
      <c r="E20" s="10">
        <v>65095</v>
      </c>
      <c r="F20" s="10">
        <v>112368</v>
      </c>
      <c r="G20" s="10">
        <v>164990</v>
      </c>
      <c r="H20" s="10">
        <v>148733</v>
      </c>
      <c r="I20" s="10">
        <v>123664</v>
      </c>
      <c r="J20" s="10">
        <v>495373</v>
      </c>
      <c r="K20" s="10">
        <v>454186</v>
      </c>
      <c r="L20" s="10">
        <v>265210</v>
      </c>
      <c r="M20" s="10">
        <v>157624</v>
      </c>
    </row>
    <row r="22" spans="1:13" x14ac:dyDescent="0.25">
      <c r="A22" s="4" t="s">
        <v>22</v>
      </c>
    </row>
    <row r="23" spans="1:13" x14ac:dyDescent="0.25">
      <c r="A23" s="5" t="str">
        <f>+'Q1'!A30</f>
        <v>Situação da base de dados em 7/fevereiro/2026</v>
      </c>
    </row>
    <row r="24" spans="1:13" x14ac:dyDescent="0.25">
      <c r="A24" s="5" t="s">
        <v>23</v>
      </c>
    </row>
  </sheetData>
  <mergeCells count="3">
    <mergeCell ref="A6:A12"/>
    <mergeCell ref="A13:A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INDICE</vt:lpstr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>eSocial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Cristina Duarte Veiga</dc:creator>
  <cp:lastModifiedBy>Ana Cristina Duarte Veiga</cp:lastModifiedBy>
  <dcterms:created xsi:type="dcterms:W3CDTF">2025-04-14T09:44:38Z</dcterms:created>
  <dcterms:modified xsi:type="dcterms:W3CDTF">2026-02-11T10:54:26Z</dcterms:modified>
</cp:coreProperties>
</file>