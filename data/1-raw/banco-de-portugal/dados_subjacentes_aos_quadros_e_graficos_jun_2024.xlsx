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xr:revisionPtr revIDLastSave="0" documentId="13_ncr:1_{6066335F-E218-486D-BF0F-0571AE076FDC}" xr6:coauthVersionLast="47" xr6:coauthVersionMax="47" xr10:uidLastSave="{00000000-0000-0000-0000-000000000000}"/>
  <bookViews>
    <workbookView xWindow="-120" yWindow="-120" windowWidth="29040" windowHeight="15840" tabRatio="793" xr2:uid="{649C0F29-8E48-4859-BEA2-DD18C6C48432}"/>
  </bookViews>
  <sheets>
    <sheet name="Capa" sheetId="3" r:id="rId1"/>
    <sheet name="Índice" sheetId="1" r:id="rId2"/>
    <sheet name="QI.1.1" sheetId="17" r:id="rId3"/>
    <sheet name="GI.1.1" sheetId="105" r:id="rId4"/>
    <sheet name="GI.1.2" sheetId="106" r:id="rId5"/>
    <sheet name="GI.1.3" sheetId="107" r:id="rId6"/>
    <sheet name="GI.1.4" sheetId="108" r:id="rId7"/>
    <sheet name="GI.1.5" sheetId="109" r:id="rId8"/>
    <sheet name="GI.1.6" sheetId="110" r:id="rId9"/>
    <sheet name="GI.1.7" sheetId="132" r:id="rId10"/>
    <sheet name="GC.1.1" sheetId="115" r:id="rId11"/>
    <sheet name="GC.1.2" sheetId="116" r:id="rId12"/>
    <sheet name="QC.1.1" sheetId="114" r:id="rId13"/>
    <sheet name="GC.2.1" sheetId="92" r:id="rId14"/>
    <sheet name="GC.2.2" sheetId="93" r:id="rId15"/>
    <sheet name="GC.2.3" sheetId="94" r:id="rId16"/>
    <sheet name="QC.2.1" sheetId="40" r:id="rId17"/>
    <sheet name="GC.3.1" sheetId="73" r:id="rId18"/>
    <sheet name="GC.3.2" sheetId="89" r:id="rId19"/>
    <sheet name="GC.3.3" sheetId="90" r:id="rId20"/>
    <sheet name="QC.3.1" sheetId="91" r:id="rId21"/>
    <sheet name="GI.2.1" sheetId="23" r:id="rId22"/>
    <sheet name="GI.2.2" sheetId="111" r:id="rId23"/>
    <sheet name="GI.2.3" sheetId="112" r:id="rId24"/>
    <sheet name="GI.2.4" sheetId="117" r:id="rId25"/>
    <sheet name="GI.2.5" sheetId="118" r:id="rId26"/>
    <sheet name="GI.2.6" sheetId="119" r:id="rId27"/>
    <sheet name="GI.2.7" sheetId="120" r:id="rId28"/>
    <sheet name="GI.2.8" sheetId="122" r:id="rId29"/>
    <sheet name="GI.2.9" sheetId="121" r:id="rId30"/>
    <sheet name="GC.5.1" sheetId="123" r:id="rId31"/>
    <sheet name="QC.5.1" sheetId="124" r:id="rId32"/>
    <sheet name="GC.6.1" sheetId="38" r:id="rId33"/>
    <sheet name="GC.6.2" sheetId="125" r:id="rId34"/>
    <sheet name="GC.6.3" sheetId="126" r:id="rId35"/>
    <sheet name="GC.7.1" sheetId="127" r:id="rId36"/>
    <sheet name="GC.7.2" sheetId="128" r:id="rId37"/>
    <sheet name="GC.7.3" sheetId="130" r:id="rId38"/>
    <sheet name="GC.7.4" sheetId="131" r:id="rId39"/>
    <sheet name="TED.G1" sheetId="56" r:id="rId40"/>
    <sheet name="TED.G2" sheetId="75" r:id="rId41"/>
    <sheet name="TED.Q1" sheetId="48" r:id="rId42"/>
    <sheet name="TED.G3" sheetId="76" r:id="rId43"/>
    <sheet name="TED.G4" sheetId="77" r:id="rId44"/>
    <sheet name="TED.G5" sheetId="78" r:id="rId45"/>
    <sheet name="TED.G6" sheetId="79" r:id="rId46"/>
    <sheet name="TED.G7" sheetId="80" r:id="rId47"/>
    <sheet name="TED.G8" sheetId="81" r:id="rId48"/>
    <sheet name="TED.Q2" sheetId="82" r:id="rId49"/>
    <sheet name="TED.G9" sheetId="83" r:id="rId50"/>
    <sheet name="TED.G10" sheetId="84" r:id="rId51"/>
    <sheet name="TED.C.G1" sheetId="55" r:id="rId52"/>
    <sheet name="TED.C.G2" sheetId="85" r:id="rId53"/>
    <sheet name="TED.C.G3" sheetId="86" r:id="rId54"/>
    <sheet name="TED.C.G4" sheetId="87" r:id="rId55"/>
    <sheet name="TED.C.Q1" sheetId="88" r:id="rId56"/>
    <sheet name="PEA.G1" sheetId="64" r:id="rId57"/>
    <sheet name="PEA.G2" sheetId="95" r:id="rId58"/>
    <sheet name="PEA.G3" sheetId="96" r:id="rId59"/>
    <sheet name="PEA.G4" sheetId="100" r:id="rId60"/>
    <sheet name="PEA.G5" sheetId="97" r:id="rId61"/>
    <sheet name="PEA.G6" sheetId="101" r:id="rId62"/>
    <sheet name="PEA.G7" sheetId="104" r:id="rId63"/>
    <sheet name="PEA.G8" sheetId="98" r:id="rId64"/>
    <sheet name="PEA.G9" sheetId="102" r:id="rId65"/>
    <sheet name="PEA.G10" sheetId="99" r:id="rId66"/>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31" l="1"/>
  <c r="A6" i="130"/>
  <c r="A23" i="1"/>
  <c r="A38" i="1"/>
  <c r="A39" i="1"/>
  <c r="A68" i="1"/>
  <c r="A22" i="1"/>
  <c r="A6" i="128" l="1"/>
  <c r="A6" i="127"/>
  <c r="A6" i="126"/>
  <c r="A6" i="125"/>
  <c r="C49" i="124"/>
  <c r="C43" i="124"/>
  <c r="C40" i="124"/>
  <c r="C36" i="124" s="1"/>
  <c r="C34" i="124"/>
  <c r="C29" i="124"/>
  <c r="C22" i="124" s="1"/>
  <c r="C51" i="124" s="1"/>
  <c r="C54" i="124" s="1"/>
  <c r="A7" i="124"/>
  <c r="A6" i="123"/>
  <c r="A7" i="122"/>
  <c r="A7" i="121"/>
  <c r="A7" i="120"/>
  <c r="A7" i="119"/>
  <c r="A7" i="118"/>
  <c r="A7" i="117"/>
  <c r="A7" i="114"/>
  <c r="A7" i="95"/>
  <c r="A7" i="96"/>
  <c r="A7" i="100"/>
  <c r="A7" i="97"/>
  <c r="A7" i="101"/>
  <c r="A7" i="104"/>
  <c r="A7" i="98"/>
  <c r="A7" i="102"/>
  <c r="A7" i="99"/>
  <c r="A7" i="64"/>
  <c r="A7" i="75"/>
  <c r="A7" i="48"/>
  <c r="A7" i="76"/>
  <c r="A7" i="77"/>
  <c r="A7" i="78"/>
  <c r="A7" i="79"/>
  <c r="A7" i="80"/>
  <c r="A7" i="81"/>
  <c r="A7" i="82"/>
  <c r="A7" i="83"/>
  <c r="A7" i="84"/>
  <c r="A7" i="55"/>
  <c r="A7" i="85"/>
  <c r="A7" i="86"/>
  <c r="A7" i="87"/>
  <c r="A7" i="88"/>
  <c r="A7" i="56"/>
  <c r="A7" i="112"/>
  <c r="A61" i="1"/>
  <c r="A55" i="1"/>
  <c r="A67" i="1"/>
  <c r="A65" i="1"/>
  <c r="A59" i="1"/>
  <c r="A63" i="1"/>
  <c r="A64" i="1"/>
  <c r="A54" i="1"/>
  <c r="A62" i="1"/>
  <c r="A53" i="1"/>
  <c r="A57" i="1"/>
  <c r="A58" i="1"/>
  <c r="A60" i="1"/>
  <c r="A66" i="1"/>
  <c r="A56" i="1"/>
  <c r="A7" i="111" l="1"/>
  <c r="A6" i="38"/>
  <c r="E15" i="99"/>
  <c r="F15" i="99" s="1"/>
  <c r="G15" i="99" s="1"/>
  <c r="H15" i="99" s="1"/>
  <c r="I15" i="99" s="1"/>
  <c r="J15" i="99" s="1"/>
  <c r="K15" i="99" s="1"/>
  <c r="L15" i="99" s="1"/>
  <c r="M15" i="99" s="1"/>
  <c r="N15" i="99" s="1"/>
  <c r="O15" i="99" s="1"/>
  <c r="A87" i="1"/>
  <c r="A140" i="1"/>
  <c r="A15" i="1"/>
  <c r="A149" i="1"/>
  <c r="A80" i="1"/>
  <c r="A144" i="1"/>
  <c r="A86" i="1"/>
  <c r="A91" i="1"/>
  <c r="A12" i="1"/>
  <c r="A17" i="1"/>
  <c r="A73" i="1"/>
  <c r="A138" i="1"/>
  <c r="A82" i="1"/>
  <c r="A141" i="1"/>
  <c r="A139" i="1"/>
  <c r="A145" i="1"/>
  <c r="A137" i="1"/>
  <c r="A18" i="1"/>
  <c r="A90" i="1"/>
  <c r="A147" i="1"/>
  <c r="A16" i="1"/>
  <c r="A14" i="1"/>
  <c r="A71" i="1"/>
  <c r="A13" i="1"/>
  <c r="A19" i="1"/>
  <c r="A155" i="1"/>
  <c r="A142" i="1"/>
  <c r="A152" i="1"/>
  <c r="A78" i="1"/>
  <c r="A156" i="1"/>
  <c r="A153" i="1"/>
  <c r="A146" i="1"/>
  <c r="A77" i="1"/>
  <c r="A85" i="1"/>
  <c r="A79" i="1"/>
  <c r="A92" i="1"/>
  <c r="A74" i="1"/>
  <c r="A21" i="1"/>
  <c r="A154" i="1"/>
  <c r="A150" i="1"/>
  <c r="A148" i="1"/>
  <c r="A81" i="1"/>
  <c r="A151" i="1"/>
  <c r="A88" i="1"/>
  <c r="A89" i="1"/>
  <c r="A143" i="1"/>
  <c r="A72" i="1"/>
  <c r="A20" i="1"/>
  <c r="F15" i="98" l="1"/>
  <c r="G15" i="98" s="1"/>
  <c r="H15" i="98" s="1"/>
  <c r="I15" i="98" s="1"/>
  <c r="J15" i="98" s="1"/>
  <c r="K15" i="98" s="1"/>
  <c r="L15" i="98" s="1"/>
  <c r="M15" i="98" s="1"/>
  <c r="N15" i="98" s="1"/>
  <c r="O15" i="98" s="1"/>
  <c r="P15" i="98" s="1"/>
  <c r="Q15" i="98" s="1"/>
  <c r="R15" i="98" s="1"/>
  <c r="S15" i="98" s="1"/>
  <c r="T15" i="98" s="1"/>
  <c r="U15" i="98" s="1"/>
  <c r="V15" i="98" s="1"/>
  <c r="W15" i="98" s="1"/>
  <c r="X15" i="98" s="1"/>
  <c r="Y15" i="98" s="1"/>
  <c r="Z15" i="98" s="1"/>
  <c r="AA15" i="98" s="1"/>
  <c r="E15" i="97"/>
  <c r="F15" i="97" s="1"/>
  <c r="G15" i="97" s="1"/>
  <c r="H15" i="97" s="1"/>
  <c r="I15" i="97" s="1"/>
  <c r="J15" i="97" s="1"/>
  <c r="K15" i="97" s="1"/>
  <c r="L15" i="97" s="1"/>
  <c r="M15" i="97" s="1"/>
  <c r="N15" i="97" s="1"/>
  <c r="O15" i="97" s="1"/>
  <c r="P15" i="97" s="1"/>
  <c r="Q15" i="97" s="1"/>
  <c r="R15" i="97" s="1"/>
  <c r="S15" i="97" s="1"/>
  <c r="T15" i="97" s="1"/>
  <c r="U15" i="97" s="1"/>
  <c r="V15" i="97" s="1"/>
  <c r="W15" i="97" s="1"/>
  <c r="X15" i="97" s="1"/>
  <c r="Y15" i="97" s="1"/>
  <c r="Z15" i="97" s="1"/>
  <c r="E15" i="96"/>
  <c r="F15" i="96" s="1"/>
  <c r="G15" i="96" s="1"/>
  <c r="H15" i="96" s="1"/>
  <c r="I15" i="96" s="1"/>
  <c r="J15" i="96" s="1"/>
  <c r="K15" i="96" s="1"/>
  <c r="L15" i="96" s="1"/>
  <c r="M15" i="96" s="1"/>
  <c r="N15" i="96" s="1"/>
  <c r="O15" i="96" s="1"/>
  <c r="P15" i="96" s="1"/>
  <c r="Q15" i="96" s="1"/>
  <c r="R15" i="96" s="1"/>
  <c r="S15" i="96" s="1"/>
  <c r="T15" i="96" s="1"/>
  <c r="U15" i="96" s="1"/>
  <c r="V15" i="96" s="1"/>
  <c r="W15" i="96" s="1"/>
  <c r="X15" i="96" s="1"/>
  <c r="Y15" i="96" s="1"/>
  <c r="Z15" i="96" s="1"/>
  <c r="AA15" i="96" s="1"/>
  <c r="D15" i="95" l="1"/>
  <c r="E15" i="95" s="1"/>
  <c r="F15" i="95" s="1"/>
  <c r="G15" i="95" s="1"/>
  <c r="H15" i="95" s="1"/>
  <c r="I15" i="95" s="1"/>
  <c r="J15" i="95" s="1"/>
  <c r="K15" i="95" s="1"/>
  <c r="L15" i="95" s="1"/>
  <c r="M15" i="95" s="1"/>
  <c r="N15" i="95" s="1"/>
  <c r="O15" i="95" s="1"/>
  <c r="P15" i="95" s="1"/>
  <c r="Q15" i="95" s="1"/>
  <c r="R15" i="95" s="1"/>
  <c r="S15" i="95" s="1"/>
  <c r="T15" i="95" s="1"/>
  <c r="U15" i="95" s="1"/>
  <c r="V15" i="95" s="1"/>
  <c r="W15" i="95" s="1"/>
  <c r="X15" i="95" s="1"/>
  <c r="Y15" i="95" s="1"/>
  <c r="Z15" i="95" s="1"/>
  <c r="E15" i="64"/>
  <c r="F15" i="64" s="1"/>
  <c r="G15" i="64" s="1"/>
  <c r="H15" i="64" s="1"/>
  <c r="I15" i="64" s="1"/>
  <c r="J15" i="64" s="1"/>
  <c r="K15" i="64" s="1"/>
  <c r="L15" i="64" s="1"/>
  <c r="M15" i="64" s="1"/>
  <c r="N15" i="64" s="1"/>
  <c r="O15" i="64" s="1"/>
  <c r="P15" i="64" s="1"/>
  <c r="Q15" i="64" s="1"/>
  <c r="R15" i="64" s="1"/>
  <c r="S15" i="64" s="1"/>
  <c r="T15" i="64" s="1"/>
  <c r="U15" i="64" s="1"/>
  <c r="V15" i="64" s="1"/>
  <c r="W15" i="64" s="1"/>
  <c r="X15" i="64" s="1"/>
  <c r="Y15" i="64" s="1"/>
  <c r="Z15" i="64" s="1"/>
  <c r="AA15" i="64" s="1"/>
  <c r="A7" i="94" l="1"/>
  <c r="A7" i="93"/>
  <c r="A7" i="92"/>
  <c r="A7" i="40"/>
  <c r="F14" i="92"/>
  <c r="G14" i="92" s="1"/>
  <c r="H14" i="92" s="1"/>
  <c r="I14" i="92" s="1"/>
  <c r="J14" i="92" s="1"/>
  <c r="K14" i="92" s="1"/>
  <c r="L14" i="92" s="1"/>
  <c r="M14" i="92" s="1"/>
  <c r="A110" i="1"/>
  <c r="A131" i="1"/>
  <c r="A99" i="1"/>
  <c r="A107" i="1"/>
  <c r="A126" i="1"/>
  <c r="A103" i="1"/>
  <c r="A115" i="1"/>
  <c r="A119" i="1"/>
  <c r="A36" i="1"/>
  <c r="A106" i="1"/>
  <c r="A102" i="1"/>
  <c r="A104" i="1"/>
  <c r="A105" i="1"/>
  <c r="A34" i="1"/>
  <c r="A124" i="1"/>
  <c r="A117" i="1"/>
  <c r="A129" i="1"/>
  <c r="A100" i="1"/>
  <c r="A114" i="1"/>
  <c r="A116" i="1"/>
  <c r="A130" i="1"/>
  <c r="A96" i="1"/>
  <c r="A109" i="1"/>
  <c r="A35" i="1"/>
  <c r="A98" i="1"/>
  <c r="A113" i="1"/>
  <c r="A37" i="1"/>
  <c r="A123" i="1"/>
  <c r="A108" i="1"/>
  <c r="A125" i="1"/>
  <c r="A128" i="1"/>
  <c r="A97" i="1"/>
  <c r="A112" i="1"/>
  <c r="A118" i="1"/>
  <c r="A101" i="1"/>
  <c r="A122" i="1"/>
  <c r="A127" i="1"/>
  <c r="A111" i="1"/>
  <c r="A7" i="91" l="1"/>
  <c r="A7" i="90"/>
  <c r="A7" i="89"/>
  <c r="A7" i="73"/>
  <c r="A7" i="23"/>
  <c r="A7" i="17"/>
  <c r="A46" i="1"/>
  <c r="A52" i="1"/>
  <c r="A48" i="1"/>
  <c r="A49" i="1"/>
  <c r="A33" i="1"/>
  <c r="A28" i="1"/>
  <c r="A9" i="1"/>
  <c r="A32" i="1"/>
  <c r="A47" i="1"/>
  <c r="A10" i="1"/>
  <c r="A44" i="1"/>
  <c r="A29" i="1"/>
  <c r="A26" i="1"/>
  <c r="A11" i="1"/>
  <c r="A45" i="1"/>
  <c r="A51" i="1"/>
  <c r="A8" i="1"/>
  <c r="A27" i="1"/>
  <c r="A43" i="1"/>
  <c r="A42" i="1"/>
</calcChain>
</file>

<file path=xl/sharedStrings.xml><?xml version="1.0" encoding="utf-8"?>
<sst xmlns="http://schemas.openxmlformats.org/spreadsheetml/2006/main" count="2862" uniqueCount="1652">
  <si>
    <t>ÍNDICE/CONTENTS</t>
  </si>
  <si>
    <t>Classificação de Segurança - Público</t>
  </si>
  <si>
    <t>Unidade/Unit</t>
  </si>
  <si>
    <t>Índice/Contents</t>
  </si>
  <si>
    <t>%</t>
  </si>
  <si>
    <t>Pesos</t>
  </si>
  <si>
    <t>BE março 2023</t>
  </si>
  <si>
    <t>Weights</t>
  </si>
  <si>
    <t>EB March 2023</t>
  </si>
  <si>
    <t>2024 (p)</t>
  </si>
  <si>
    <t>2025 (p)</t>
  </si>
  <si>
    <t>Produto interno bruto</t>
  </si>
  <si>
    <t>Gross domestic product</t>
  </si>
  <si>
    <t>Consumo privado</t>
  </si>
  <si>
    <t>Private consumption</t>
  </si>
  <si>
    <t>Consumo público</t>
  </si>
  <si>
    <t xml:space="preserve">Public consumption </t>
  </si>
  <si>
    <t>Formação bruta de capital fixo</t>
  </si>
  <si>
    <t xml:space="preserve">Gross fixed capital formation </t>
  </si>
  <si>
    <t>Procura interna</t>
  </si>
  <si>
    <t xml:space="preserve">Domestic demand </t>
  </si>
  <si>
    <t>Exportações</t>
  </si>
  <si>
    <t>Exports</t>
  </si>
  <si>
    <t>Importações</t>
  </si>
  <si>
    <t>Imports</t>
  </si>
  <si>
    <r>
      <t xml:space="preserve">Emprego </t>
    </r>
    <r>
      <rPr>
        <vertAlign val="superscript"/>
        <sz val="11"/>
        <color theme="1"/>
        <rFont val="Calibri"/>
        <family val="2"/>
        <scheme val="minor"/>
      </rPr>
      <t>(a)</t>
    </r>
  </si>
  <si>
    <t>Employment (a)</t>
  </si>
  <si>
    <r>
      <t xml:space="preserve">Taxa de desemprego </t>
    </r>
    <r>
      <rPr>
        <vertAlign val="superscript"/>
        <sz val="11"/>
        <color theme="1"/>
        <rFont val="Calibri"/>
        <family val="2"/>
        <scheme val="minor"/>
      </rPr>
      <t>(b)</t>
    </r>
  </si>
  <si>
    <t>Unemployment rate (b)</t>
  </si>
  <si>
    <t>Balança corrente e de capital (% PIB)</t>
  </si>
  <si>
    <t xml:space="preserve">Current and capital account (% of GDP) </t>
  </si>
  <si>
    <t>Balança de bens e serviços (% PIB)</t>
  </si>
  <si>
    <t xml:space="preserve">Trade balance (% of GDP) </t>
  </si>
  <si>
    <t>Índice harmonizado de preços no consumidor</t>
  </si>
  <si>
    <t>Harmonised index of consumer prices</t>
  </si>
  <si>
    <t>Excluindo bens energéticos</t>
  </si>
  <si>
    <t>Excluindo bens energéticos e alimentares</t>
  </si>
  <si>
    <t xml:space="preserve">Excluding energy </t>
  </si>
  <si>
    <t>Excluding energy and food</t>
  </si>
  <si>
    <t>Saldo orçamental (% PIB)</t>
  </si>
  <si>
    <t>Dívida Pública (% PIB)</t>
  </si>
  <si>
    <t>-</t>
  </si>
  <si>
    <t>Budget Balance (% of GDP)</t>
  </si>
  <si>
    <t>Public Debt (% GDP)</t>
  </si>
  <si>
    <r>
      <t>Unidade/</t>
    </r>
    <r>
      <rPr>
        <i/>
        <sz val="11"/>
        <color theme="1"/>
        <rFont val="Calibri"/>
        <family val="2"/>
        <scheme val="minor"/>
      </rPr>
      <t>Unit</t>
    </r>
  </si>
  <si>
    <t>% PIB</t>
  </si>
  <si>
    <t>% GDP</t>
  </si>
  <si>
    <t>IE</t>
  </si>
  <si>
    <t>CY</t>
  </si>
  <si>
    <t>PT</t>
  </si>
  <si>
    <t>DE</t>
  </si>
  <si>
    <t>AT</t>
  </si>
  <si>
    <t>LT</t>
  </si>
  <si>
    <t>LU</t>
  </si>
  <si>
    <t>NL</t>
  </si>
  <si>
    <t>AE</t>
  </si>
  <si>
    <t>FI</t>
  </si>
  <si>
    <t>EE</t>
  </si>
  <si>
    <t>LV</t>
  </si>
  <si>
    <t>SI</t>
  </si>
  <si>
    <t>ES</t>
  </si>
  <si>
    <t>IT</t>
  </si>
  <si>
    <t>FR</t>
  </si>
  <si>
    <t>MT</t>
  </si>
  <si>
    <t>BE</t>
  </si>
  <si>
    <t>SK</t>
  </si>
  <si>
    <t>Total</t>
  </si>
  <si>
    <t>Other</t>
  </si>
  <si>
    <t>Outros</t>
  </si>
  <si>
    <t>Milhões de euros</t>
  </si>
  <si>
    <t>Million euros</t>
  </si>
  <si>
    <t>IRS</t>
  </si>
  <si>
    <t>IRC</t>
  </si>
  <si>
    <t>IVA</t>
  </si>
  <si>
    <t>Outros dir. e ind.</t>
  </si>
  <si>
    <t>CSS</t>
  </si>
  <si>
    <t>Personal income tax</t>
  </si>
  <si>
    <t>Corporate income tax</t>
  </si>
  <si>
    <t>VAT</t>
  </si>
  <si>
    <t>Other dir. and ind.</t>
  </si>
  <si>
    <t>Social contributions</t>
  </si>
  <si>
    <t>Variação total da receita</t>
  </si>
  <si>
    <t>Efeito das alterações legislativas</t>
  </si>
  <si>
    <t>Receita esperada sem aumento da inflação</t>
  </si>
  <si>
    <t>Impacto do aumento da inflação</t>
  </si>
  <si>
    <t>Impact of the increase in inflation</t>
  </si>
  <si>
    <t>Por explicar (resíduo/julgamento)</t>
  </si>
  <si>
    <t>Parte I.2 Análise e projeções de finanças públicas/Part I.2 Analysis and projections of public finances</t>
  </si>
  <si>
    <t>Secundário</t>
  </si>
  <si>
    <t>Superior</t>
  </si>
  <si>
    <t>Secondary</t>
  </si>
  <si>
    <t>Tertiary</t>
  </si>
  <si>
    <t>Serviços</t>
  </si>
  <si>
    <t>Services</t>
  </si>
  <si>
    <t>Unidade</t>
  </si>
  <si>
    <t>Unit</t>
  </si>
  <si>
    <t>Enquadramento internacional</t>
  </si>
  <si>
    <t>International environment</t>
  </si>
  <si>
    <t>PIB mundial</t>
  </si>
  <si>
    <t>World GDP</t>
  </si>
  <si>
    <t>tva</t>
  </si>
  <si>
    <t>yoy</t>
  </si>
  <si>
    <t>PIB Área do euro</t>
  </si>
  <si>
    <t>Euro area GDP</t>
  </si>
  <si>
    <t>Comércio mundial</t>
  </si>
  <si>
    <t>World trade</t>
  </si>
  <si>
    <t xml:space="preserve">Procura externa </t>
  </si>
  <si>
    <t>External demand</t>
  </si>
  <si>
    <t>Preços internacionais</t>
  </si>
  <si>
    <t>International prices</t>
  </si>
  <si>
    <t>Preço do petróleo</t>
  </si>
  <si>
    <t>Oil prices</t>
  </si>
  <si>
    <t>vma</t>
  </si>
  <si>
    <t>aav</t>
  </si>
  <si>
    <t>Preço do gás (MWh)</t>
  </si>
  <si>
    <t>Gas prices (MWh)</t>
  </si>
  <si>
    <t>Matérias-primas não energéticas</t>
  </si>
  <si>
    <t>Non-oil commodity prices</t>
  </si>
  <si>
    <t>Preço de importação dos concorrentes</t>
  </si>
  <si>
    <t>Competitors' import prices</t>
  </si>
  <si>
    <t>Condições monetárias e financeiras</t>
  </si>
  <si>
    <t>Monetary and financial conditions</t>
  </si>
  <si>
    <t>Taxa de juro de curto prazo (EURIBOR a 3 meses)</t>
  </si>
  <si>
    <t>Short-term interest rate (3-month EURIBOR)</t>
  </si>
  <si>
    <t>Taxa de juro implícita da dívida pública</t>
  </si>
  <si>
    <t>Implicit interest rate in public debt</t>
  </si>
  <si>
    <t>Índice de taxa de câmbio efetiva</t>
  </si>
  <si>
    <t>Effective exchange rate index</t>
  </si>
  <si>
    <t>Taxa de câmbio euro-dólar</t>
  </si>
  <si>
    <t>Euro-dollar exchange rate</t>
  </si>
  <si>
    <t>GI.1.1!A$10</t>
  </si>
  <si>
    <t>GI.1.2!A$10</t>
  </si>
  <si>
    <t>GI.1.3!A$10</t>
  </si>
  <si>
    <t>GI.1.4!A$10</t>
  </si>
  <si>
    <t>GI.1.5!A$10</t>
  </si>
  <si>
    <t>GC.1.1!A$10</t>
  </si>
  <si>
    <t>QC.1.1!A$10</t>
  </si>
  <si>
    <t>GC.2.1!A$10</t>
  </si>
  <si>
    <t>GC.2.2!A$10</t>
  </si>
  <si>
    <t>GC.3.1!A$10</t>
  </si>
  <si>
    <t>QC.3.1!A$10</t>
  </si>
  <si>
    <t>GI.2.1!A$10</t>
  </si>
  <si>
    <t>GI.1.1!A$11</t>
  </si>
  <si>
    <t>GI.1.2!A$11</t>
  </si>
  <si>
    <t>GI.1.3!A$11</t>
  </si>
  <si>
    <t>GI.1.4!A$11</t>
  </si>
  <si>
    <t>GI.1.5!A$11</t>
  </si>
  <si>
    <t>GC.1.1!A$11</t>
  </si>
  <si>
    <t>QC.1.1!A$11</t>
  </si>
  <si>
    <t>GC.2.1!A$11</t>
  </si>
  <si>
    <t>GC.2.2!A$11</t>
  </si>
  <si>
    <t>GC.3.1!A$11</t>
  </si>
  <si>
    <t>QC.3.1!A$11</t>
  </si>
  <si>
    <t>GI.2.1!A$11</t>
  </si>
  <si>
    <t>QI.1.1!A$10</t>
  </si>
  <si>
    <t>QI.1.1!A$11</t>
  </si>
  <si>
    <t>Caixa 1- Enquadramento e políticas/Box 1-External environment, financing conditions and policies</t>
  </si>
  <si>
    <t>Gráfico I.2.1 Saldo das administrações públicas observado e projetado em Portugal e na área do euro  | Em percentagem do PIB</t>
  </si>
  <si>
    <t>Chart I.2.1 · General government balance outturn and projections in Portugal and the euro area | Percentage of GDP</t>
  </si>
  <si>
    <t>TED.Q1!A$10</t>
  </si>
  <si>
    <t>TED.Q1!A$11</t>
  </si>
  <si>
    <t>TED.G1!A$10</t>
  </si>
  <si>
    <t>TED.G1!A$11</t>
  </si>
  <si>
    <t>TED.G2!A$10</t>
  </si>
  <si>
    <t>PEA.G1!A$10</t>
  </si>
  <si>
    <t>PEA.G1!A$11</t>
  </si>
  <si>
    <t>PEA.G2!A$10</t>
  </si>
  <si>
    <t>PEA.G2!A$11</t>
  </si>
  <si>
    <t>PEA.G3!A$10</t>
  </si>
  <si>
    <t>PEA.G3!A$11</t>
  </si>
  <si>
    <t>PEA.G4!A$10</t>
  </si>
  <si>
    <t>PEA.G4!A$11</t>
  </si>
  <si>
    <t>PEA.G5!A$10</t>
  </si>
  <si>
    <t>PEA.G5!A$11</t>
  </si>
  <si>
    <t>PEA.G6!A$10</t>
  </si>
  <si>
    <t>PEA.G6!A$11</t>
  </si>
  <si>
    <t>PEA.G7!A$10</t>
  </si>
  <si>
    <t>PEA.G7!A$11</t>
  </si>
  <si>
    <r>
      <t xml:space="preserve">Nota: Neste ficheiro são disponiblizados os dados subjacentes aos gráficos e quadros do </t>
    </r>
    <r>
      <rPr>
        <i/>
        <sz val="14"/>
        <color theme="1"/>
        <rFont val="Calibri"/>
        <family val="2"/>
        <scheme val="minor"/>
      </rPr>
      <t>Boletim Económico</t>
    </r>
    <r>
      <rPr>
        <sz val="14"/>
        <color theme="1"/>
        <rFont val="Calibri"/>
        <family val="2"/>
        <scheme val="minor"/>
      </rPr>
      <t xml:space="preserve"> –  junho 2024.
</t>
    </r>
    <r>
      <rPr>
        <i/>
        <sz val="14"/>
        <color theme="1"/>
        <rFont val="Calibri"/>
        <family val="2"/>
        <scheme val="minor"/>
      </rPr>
      <t>Note: This file contains the data used in the charts and tables of the</t>
    </r>
    <r>
      <rPr>
        <sz val="14"/>
        <color theme="1"/>
        <rFont val="Calibri"/>
        <family val="2"/>
        <scheme val="minor"/>
      </rPr>
      <t xml:space="preserve"> Economic Bulletin </t>
    </r>
    <r>
      <rPr>
        <i/>
        <sz val="14"/>
        <color theme="1"/>
        <rFont val="Calibri"/>
        <family val="2"/>
        <scheme val="minor"/>
      </rPr>
      <t>– june 2024.</t>
    </r>
    <r>
      <rPr>
        <sz val="14"/>
        <color theme="1"/>
        <rFont val="Calibri"/>
        <family val="2"/>
        <scheme val="minor"/>
      </rPr>
      <t xml:space="preserve">
</t>
    </r>
  </si>
  <si>
    <t>Boletim Económico - junho 2024/Economic Bulletin - June 2024</t>
  </si>
  <si>
    <t>Boletim Económico - Junho 2024/Economic Bulletin - June 2024</t>
  </si>
  <si>
    <t>Boletim Económico - junho 2024/Economic Bulletin June 2024</t>
  </si>
  <si>
    <t>Parte I. Projeções para a economia portuguesa: 2024-26/Part I. Projections for the Portuguese economy: 2024-26</t>
  </si>
  <si>
    <t>Gráfico 1 • Trabalhadores com nacionalidade estrangeira | Número de indivíduos em cada mês</t>
  </si>
  <si>
    <t>Gráfico 3 • Número de trabalhadores estrangeiros por principais nacionalidades | Número de indivíduos em cada mês</t>
  </si>
  <si>
    <t>Gráfico 4 • Distribuição da idade dos trabalhadores por nacionalidade em 2023 | Anos</t>
  </si>
  <si>
    <t xml:space="preserve">Gráfico 5 • Peso das mulheres no número total de trabalhadores por nacionalidade em 2023 | Percentagem </t>
  </si>
  <si>
    <t xml:space="preserve">Gráfico 7 • Distribuição do número de trabalhadores com nacionalidade estrangeira por setor de atividade | Número de indivíduos </t>
  </si>
  <si>
    <t xml:space="preserve">Quadro 2 • Distribuição dos trabalhadores estrangeiros por nacionalidade em cada setor em 2023 | Percentagem  </t>
  </si>
  <si>
    <t>Gráfico 9 • Distribuição das remunerações regulares brutas nominais por idade e nacionalidade em 2023 | Euros</t>
  </si>
  <si>
    <t>Gráfico 10 • Média e mediana das remunerações regulares brutas nominais por nacionalidade em 2023 | Euros</t>
  </si>
  <si>
    <t>Chart 1 • Employees with foreign nationality | Number of individuals in each month</t>
  </si>
  <si>
    <t>ano</t>
  </si>
  <si>
    <t>year</t>
  </si>
  <si>
    <t>mês</t>
  </si>
  <si>
    <t>month</t>
  </si>
  <si>
    <t>número de trabalhadores</t>
  </si>
  <si>
    <t>number of employees</t>
  </si>
  <si>
    <t>Nacionalidade portuguesa</t>
  </si>
  <si>
    <t xml:space="preserve">Nacionalidade estrangeira </t>
  </si>
  <si>
    <t>Portuguese nationality</t>
  </si>
  <si>
    <t>Foreign nationality</t>
  </si>
  <si>
    <t>Número de trabalhadores na empresa</t>
  </si>
  <si>
    <t xml:space="preserve">Total de trabalhadores estrangeiros </t>
  </si>
  <si>
    <t>Peso dos trabalhadores estrangeiros</t>
  </si>
  <si>
    <t>Até 10</t>
  </si>
  <si>
    <t>11-25</t>
  </si>
  <si>
    <t>26-50</t>
  </si>
  <si>
    <t>51-100</t>
  </si>
  <si>
    <t>101-150</t>
  </si>
  <si>
    <t>Mais de 150</t>
  </si>
  <si>
    <t>More than 150</t>
  </si>
  <si>
    <t>Up to 10</t>
  </si>
  <si>
    <t>Number of employees in the firm</t>
  </si>
  <si>
    <t>Total number of foreign employees</t>
  </si>
  <si>
    <t>Weight of foreign employees</t>
  </si>
  <si>
    <t>Source: Social Security microdata (Banco de Portugal calculations). | Notes: The size of the firm was calculated based on the number of employees of working age (16-74 years old) and with, at least, the equivalent of a day of remuneration in the firm each month in 2023. The weight is relative to the average number of national and foreign employees by firm size in each month in 2023. It should be noted that the sum of the number of employees by size is higher than in Chart 1, since the same employee can work in different firms, with different sizes, each month.</t>
  </si>
  <si>
    <t>Chart 3 • Number of foreign employees by main nationalities | Number of individuals in each month</t>
  </si>
  <si>
    <t>Bangladesh</t>
  </si>
  <si>
    <t>Cabo Verde</t>
  </si>
  <si>
    <t>Índia</t>
  </si>
  <si>
    <t>Nepal</t>
  </si>
  <si>
    <t>Brasil</t>
  </si>
  <si>
    <t>India</t>
  </si>
  <si>
    <t>Brazil</t>
  </si>
  <si>
    <t>Cape Verde</t>
  </si>
  <si>
    <t>Chart 4 • Employees' age distribution by nationality in 2023 | Years</t>
  </si>
  <si>
    <t>Painel A</t>
  </si>
  <si>
    <t>Percentil 10</t>
  </si>
  <si>
    <t>Percentil 25</t>
  </si>
  <si>
    <t>Mediana</t>
  </si>
  <si>
    <t>Percentil 75</t>
  </si>
  <si>
    <t>Percentil 90</t>
  </si>
  <si>
    <t>Panel A</t>
  </si>
  <si>
    <t>10th percentile</t>
  </si>
  <si>
    <t>25th percentile</t>
  </si>
  <si>
    <t>Median</t>
  </si>
  <si>
    <t>75th percentile</t>
  </si>
  <si>
    <t>90th percentile</t>
  </si>
  <si>
    <t>Nacionalidade estrangeira</t>
  </si>
  <si>
    <t>Panel B</t>
  </si>
  <si>
    <t>Painel B</t>
  </si>
  <si>
    <t xml:space="preserve">Nacionalidade portuguesa      </t>
  </si>
  <si>
    <t>Peso</t>
  </si>
  <si>
    <t>0101 ÁGUEDA</t>
  </si>
  <si>
    <t>0102 ALBERGARIA-A-VELHA</t>
  </si>
  <si>
    <t>0103 ANADIA</t>
  </si>
  <si>
    <t>0104 AROUCA</t>
  </si>
  <si>
    <t>0105 AVEIRO</t>
  </si>
  <si>
    <t>0106 CASTELO DE PAIVA</t>
  </si>
  <si>
    <t>0107 ESPINHO</t>
  </si>
  <si>
    <t>0108 ESTARREJA</t>
  </si>
  <si>
    <t>0109 SANTA MARIA DA FEIRA</t>
  </si>
  <si>
    <t>0110 ÍLHAVO</t>
  </si>
  <si>
    <t>0111 MEALHADA</t>
  </si>
  <si>
    <t>0112 MURTOSA</t>
  </si>
  <si>
    <t>0113 OLIVEIRA DE AZEMÉIS</t>
  </si>
  <si>
    <t>0114 OLIVEIRA DO BAIRRO</t>
  </si>
  <si>
    <t>0115 OVAR</t>
  </si>
  <si>
    <t>0116 SÃO JOÃO DA MADEIRA</t>
  </si>
  <si>
    <t>0117 SEVER DO VOUGA</t>
  </si>
  <si>
    <t>0118 VAGOS</t>
  </si>
  <si>
    <t>0119 VALE DE CAMBRA</t>
  </si>
  <si>
    <t>0201 ALJUSTREL</t>
  </si>
  <si>
    <t>0202 ALMODÔVAR</t>
  </si>
  <si>
    <t>0203 ALVITO</t>
  </si>
  <si>
    <t>0204 BARRANCOS</t>
  </si>
  <si>
    <t>0205 BEJA</t>
  </si>
  <si>
    <t>0206 CASTRO VERDE</t>
  </si>
  <si>
    <t>0207 CUBA</t>
  </si>
  <si>
    <t>0208 FERREIRA DO ALENTEJO</t>
  </si>
  <si>
    <t>0209 MÉRTOLA</t>
  </si>
  <si>
    <t>0210 MOURA</t>
  </si>
  <si>
    <t>0211 ODEMIRA</t>
  </si>
  <si>
    <t>0212 OURIQUE</t>
  </si>
  <si>
    <t>0213 SERPA</t>
  </si>
  <si>
    <t>0214 VIDIGUEIRA</t>
  </si>
  <si>
    <t>0301 AMARES</t>
  </si>
  <si>
    <t>0302 BARCELOS</t>
  </si>
  <si>
    <t>0303 BRAGA</t>
  </si>
  <si>
    <t>0304 CABECEIRAS DE BASTO</t>
  </si>
  <si>
    <t>0305 CELORICO DE BASTO</t>
  </si>
  <si>
    <t>0306 ESPOSENDE</t>
  </si>
  <si>
    <t>0307 FAFE</t>
  </si>
  <si>
    <t>0308 GUIMARÃES</t>
  </si>
  <si>
    <t>0309 PÓVOA DE LANHOSO</t>
  </si>
  <si>
    <t>0310 TERRAS DE BOURO</t>
  </si>
  <si>
    <t>0311 VIEIRA DO MINHO</t>
  </si>
  <si>
    <t>0312 VILA NOVA DE FAMALICÃO</t>
  </si>
  <si>
    <t>0313 VILA VERDE</t>
  </si>
  <si>
    <t>0314 VIZELA</t>
  </si>
  <si>
    <t>0401 ALFÂNDEGA DA FÉ</t>
  </si>
  <si>
    <t>0402 BRAGANÇA</t>
  </si>
  <si>
    <t>0403 CARRAZEDA DE ANSIÃES</t>
  </si>
  <si>
    <t>0404 FREIXO DE ESPADA À CINTA</t>
  </si>
  <si>
    <t>0405 MACEDO DE CAVALEIROS</t>
  </si>
  <si>
    <t>0406 MIRANDA DO DOURO</t>
  </si>
  <si>
    <t>0407 MIRANDELA</t>
  </si>
  <si>
    <t>0408 MOGADOURO</t>
  </si>
  <si>
    <t>0409 TORRE DE MONCORVO</t>
  </si>
  <si>
    <t>0410 VILA FLOR</t>
  </si>
  <si>
    <t>0411 VIMIOSO</t>
  </si>
  <si>
    <t>0412 VINHAIS</t>
  </si>
  <si>
    <t>0501 BELMONTE</t>
  </si>
  <si>
    <t>0502 CASTELO BRANCO</t>
  </si>
  <si>
    <t>0503 COVILHÃ</t>
  </si>
  <si>
    <t>0504 FUNDÃO</t>
  </si>
  <si>
    <t>0505 IDANHA-A-NOVA</t>
  </si>
  <si>
    <t>0506 OLEIROS</t>
  </si>
  <si>
    <t>0507 PENAMACOR</t>
  </si>
  <si>
    <t>0508 PROENÇA-A-NOVA</t>
  </si>
  <si>
    <t>0509 SERTÃ</t>
  </si>
  <si>
    <t>0510 VILA DE REI</t>
  </si>
  <si>
    <t>0511 VILA VELHA DE RÓDÃO</t>
  </si>
  <si>
    <t>0601 ARGANIL</t>
  </si>
  <si>
    <t>0602 CANTANHEDE</t>
  </si>
  <si>
    <t>0603 COIMBRA</t>
  </si>
  <si>
    <t>0604 CONDEIXA-A-NOVA</t>
  </si>
  <si>
    <t>0605 FIGUEIRA DA FOZ</t>
  </si>
  <si>
    <t>0606 GÓIS</t>
  </si>
  <si>
    <t>0607 LOUSÃ</t>
  </si>
  <si>
    <t>0608 MIRA</t>
  </si>
  <si>
    <t>0609 MIRANDA DO CORVO</t>
  </si>
  <si>
    <t>0610 MONTEMOR-O-VELHO</t>
  </si>
  <si>
    <t>0611 OLIVEIRA DO HOSPITAL</t>
  </si>
  <si>
    <t>0612 PAMPILHOSA DA SERRA</t>
  </si>
  <si>
    <t>0613 PENACOVA</t>
  </si>
  <si>
    <t>0614 PENELA</t>
  </si>
  <si>
    <t>0615 SOURE</t>
  </si>
  <si>
    <t>0616 TÁBUA</t>
  </si>
  <si>
    <t>0617 VILA NOVA DE POIARES</t>
  </si>
  <si>
    <t>0701 ALANDROAL</t>
  </si>
  <si>
    <t>0702 ARRAIOLOS</t>
  </si>
  <si>
    <t>0703 BORBA</t>
  </si>
  <si>
    <t>0704 ESTREMOZ</t>
  </si>
  <si>
    <t>0705 ÉVORA</t>
  </si>
  <si>
    <t>0706 MONTEMOR-O-NOVO</t>
  </si>
  <si>
    <t>0707 MORA</t>
  </si>
  <si>
    <t>0708 MOURÃO</t>
  </si>
  <si>
    <t>0709 PORTEL</t>
  </si>
  <si>
    <t>0710 REDONDO</t>
  </si>
  <si>
    <t>0711 REGUENGOS DE MONSARAZ</t>
  </si>
  <si>
    <t>0712 VENDAS NOVAS</t>
  </si>
  <si>
    <t>0713 VIANA DO ALENTEJO</t>
  </si>
  <si>
    <t>0714 VILA VIÇOSA</t>
  </si>
  <si>
    <t>0801 ALBUFEIRA</t>
  </si>
  <si>
    <t>0802 ALCOUTIM</t>
  </si>
  <si>
    <t>0803 ALJEZUR</t>
  </si>
  <si>
    <t>0804 CASTRO MARIM</t>
  </si>
  <si>
    <t>0805 FARO</t>
  </si>
  <si>
    <t>0806 LAGOA</t>
  </si>
  <si>
    <t>0807 LAGOS</t>
  </si>
  <si>
    <t>0808 LOULÉ</t>
  </si>
  <si>
    <t>0809 MONCHIQUE</t>
  </si>
  <si>
    <t>0810 OLHÃO</t>
  </si>
  <si>
    <t>0811 PORTIMÃO</t>
  </si>
  <si>
    <t>0812 SÃO BRÁS DE ALPORTEL</t>
  </si>
  <si>
    <t>0813 SILVES</t>
  </si>
  <si>
    <t>0814 TAVIRA</t>
  </si>
  <si>
    <t>0815 VILA DO BISPO</t>
  </si>
  <si>
    <t>0816 VILA REAL DE SANTO ANTÓNIO</t>
  </si>
  <si>
    <t>0901 AGUIAR DA BEIRA</t>
  </si>
  <si>
    <t>0902 ALMEIDA</t>
  </si>
  <si>
    <t>0903 CELORICO DA BEIRA</t>
  </si>
  <si>
    <t>0904 FIGUEIRA DE CASTELO RODRIGO</t>
  </si>
  <si>
    <t>0905 FORNOS DE ALGODRES</t>
  </si>
  <si>
    <t>0906 GOUVEIA</t>
  </si>
  <si>
    <t>0907 GUARDA</t>
  </si>
  <si>
    <t>0908 MANTEIGAS</t>
  </si>
  <si>
    <t>0909 MEDA</t>
  </si>
  <si>
    <t>0910 PINHEL</t>
  </si>
  <si>
    <t>0911 SABUGAL</t>
  </si>
  <si>
    <t>0912 SEIA</t>
  </si>
  <si>
    <t>0913 TRANCOSO</t>
  </si>
  <si>
    <t>0914 VILA NOVA DE FOZ CÔA</t>
  </si>
  <si>
    <t>1001 ALCOBAÇA</t>
  </si>
  <si>
    <t>1002 ALVAIÁZERE</t>
  </si>
  <si>
    <t>1003 ANSIÃO</t>
  </si>
  <si>
    <t>1004 BATALHA</t>
  </si>
  <si>
    <t>1005 BOMBARRAL</t>
  </si>
  <si>
    <t>1006 CALDAS DA RAINHA</t>
  </si>
  <si>
    <t>1007 CASTANHEIRA DE PÊRA</t>
  </si>
  <si>
    <t>1008 FIGUEIRÓ DOS VINHOS</t>
  </si>
  <si>
    <t>1009 LEIRIA</t>
  </si>
  <si>
    <t>1010 MARINHA GRANDE</t>
  </si>
  <si>
    <t>1011 NAZARÉ</t>
  </si>
  <si>
    <t>1012 ÓBIDOS</t>
  </si>
  <si>
    <t>1013 PEDRÓGÃO GRANDE</t>
  </si>
  <si>
    <t>1014 PENICHE</t>
  </si>
  <si>
    <t>1015 POMBAL</t>
  </si>
  <si>
    <t>1016 PORTO DE MÓS</t>
  </si>
  <si>
    <t>1101 ALENQUER</t>
  </si>
  <si>
    <t>1102 ARRUDA DOS VINHOS</t>
  </si>
  <si>
    <t>1103 AZAMBUJA</t>
  </si>
  <si>
    <t>1104 CADAVAL</t>
  </si>
  <si>
    <t>1105 CASCAIS</t>
  </si>
  <si>
    <t>1106 LISBOA</t>
  </si>
  <si>
    <t>1107 LOURES</t>
  </si>
  <si>
    <t>1108 LOURINHÃ</t>
  </si>
  <si>
    <t>1109 MAFRA</t>
  </si>
  <si>
    <t>1110 OEIRAS</t>
  </si>
  <si>
    <t>1111 SINTRA</t>
  </si>
  <si>
    <t>1112 SOBRAL DE MONTE AGRAÇO</t>
  </si>
  <si>
    <t>1113 TORRES VEDRAS</t>
  </si>
  <si>
    <t>1114 VILA FRANCA DE XIRA</t>
  </si>
  <si>
    <t>1115 AMADORA</t>
  </si>
  <si>
    <t>1116 ODIVELAS</t>
  </si>
  <si>
    <t>1201 ALTER DO CHÃO</t>
  </si>
  <si>
    <t>1202 ARRONCHES</t>
  </si>
  <si>
    <t>1203 AVIS</t>
  </si>
  <si>
    <t>1204 CAMPO MAIOR</t>
  </si>
  <si>
    <t>1205 CASTELO DE VIDE</t>
  </si>
  <si>
    <t>1206 CRATO</t>
  </si>
  <si>
    <t>1207 ELVAS</t>
  </si>
  <si>
    <t>1208 FRONTEIRA</t>
  </si>
  <si>
    <t>1209 GAVIÃO</t>
  </si>
  <si>
    <t>1210 MARVÃO</t>
  </si>
  <si>
    <t>1211 MONFORTE</t>
  </si>
  <si>
    <t>1212 NISA</t>
  </si>
  <si>
    <t>1213 PONTE DE SOR</t>
  </si>
  <si>
    <t>1214 PORTALEGRE</t>
  </si>
  <si>
    <t>1215 SOUSEL</t>
  </si>
  <si>
    <t>1301 AMARANTE</t>
  </si>
  <si>
    <t>1302 BAIÃO</t>
  </si>
  <si>
    <t>1303 FELGUEIRAS</t>
  </si>
  <si>
    <t>1304 GONDOMAR</t>
  </si>
  <si>
    <t>1305 LOUSADA</t>
  </si>
  <si>
    <t>1306 MAIA</t>
  </si>
  <si>
    <t>1307 MARCO DE CANAVESES</t>
  </si>
  <si>
    <t>1308 MATOSINHOS</t>
  </si>
  <si>
    <t>1309 PAÇOS DE FERREIRA</t>
  </si>
  <si>
    <t>1310 PAREDES</t>
  </si>
  <si>
    <t>1311 PENAFIEL</t>
  </si>
  <si>
    <t>1312 PORTO</t>
  </si>
  <si>
    <t>1313 PÓVOA DE VARZIM</t>
  </si>
  <si>
    <t>1314 SANTO TIRSO</t>
  </si>
  <si>
    <t>1315 VALONGO</t>
  </si>
  <si>
    <t>1316 VILA DO CONDE</t>
  </si>
  <si>
    <t>1317 VILA NOVA DE GAIA</t>
  </si>
  <si>
    <t>1318 TROFA</t>
  </si>
  <si>
    <t>1400 SANTARÉM</t>
  </si>
  <si>
    <t>1401 ABRANTES</t>
  </si>
  <si>
    <t>1402 ALCANENA</t>
  </si>
  <si>
    <t>1403 ALMEIRIM</t>
  </si>
  <si>
    <t>1404 ALPIARÇA</t>
  </si>
  <si>
    <t>1405 BENAVENTE</t>
  </si>
  <si>
    <t>1406 CARTAXO</t>
  </si>
  <si>
    <t>1407 CHAMUSCA</t>
  </si>
  <si>
    <t>1408 CONSTÂNCIA</t>
  </si>
  <si>
    <t>1409 CORUCHE</t>
  </si>
  <si>
    <t>1410 ENTRONCAMENTO</t>
  </si>
  <si>
    <t>1411 FERREIRA DO ZÊZERE</t>
  </si>
  <si>
    <t>1412 GOLEGÃ</t>
  </si>
  <si>
    <t>1413 MAÇÃO</t>
  </si>
  <si>
    <t>1414 RIO MAIOR</t>
  </si>
  <si>
    <t>1415 SALVATERRA DE MAGOS</t>
  </si>
  <si>
    <t>1416 SANTARÉM</t>
  </si>
  <si>
    <t>1417 SARDOAL</t>
  </si>
  <si>
    <t>1418 TOMAR</t>
  </si>
  <si>
    <t>1419 TORRES NOVAS</t>
  </si>
  <si>
    <t>1420 VILA NOVA DA BARQUINHA</t>
  </si>
  <si>
    <t>1421 OURÉM</t>
  </si>
  <si>
    <t>1501 ALCÁCER DO SAL</t>
  </si>
  <si>
    <t>1502 ALCOCHETE</t>
  </si>
  <si>
    <t>1503 ALMADA</t>
  </si>
  <si>
    <t>1504 BARREIRO</t>
  </si>
  <si>
    <t>1505 GRÂNDOLA</t>
  </si>
  <si>
    <t>1506 MOITA</t>
  </si>
  <si>
    <t>1507 MONTIJO</t>
  </si>
  <si>
    <t>1508 PALMELA</t>
  </si>
  <si>
    <t>1509 SANTIAGO DO CACÉM</t>
  </si>
  <si>
    <t>1510 SEIXAL</t>
  </si>
  <si>
    <t>1511 SESIMBRA</t>
  </si>
  <si>
    <t>1512 SETÚBAL</t>
  </si>
  <si>
    <t>1513 SINES</t>
  </si>
  <si>
    <t>1601 ARCOS DE VALDEVEZ</t>
  </si>
  <si>
    <t>1602 CAMINHA</t>
  </si>
  <si>
    <t>1603 MELGAÇO</t>
  </si>
  <si>
    <t>1604 MONÇÃO</t>
  </si>
  <si>
    <t>1605 PAREDES DE COURA</t>
  </si>
  <si>
    <t>1606 PONTE DA BARCA</t>
  </si>
  <si>
    <t>1607 PONTE DE LIMA</t>
  </si>
  <si>
    <t>1608 VALENÇA</t>
  </si>
  <si>
    <t>1609 VIANA DO CASTELO</t>
  </si>
  <si>
    <t>1610 VILA NOVA DE CERVEIRA</t>
  </si>
  <si>
    <t>1701 ALIJÓ</t>
  </si>
  <si>
    <t>1702 BOTICAS</t>
  </si>
  <si>
    <t>1703 CHAVES</t>
  </si>
  <si>
    <t>1704 MESÃO FRIO</t>
  </si>
  <si>
    <t>1705 MONDIM DE BASTO</t>
  </si>
  <si>
    <t>1706 MONTALEGRE</t>
  </si>
  <si>
    <t>1707 MURÇA</t>
  </si>
  <si>
    <t>1708 PESO DA RÉGUA</t>
  </si>
  <si>
    <t>1709 RIBEIRA DE PENA</t>
  </si>
  <si>
    <t>1710 SABROSA</t>
  </si>
  <si>
    <t>1711 SANTA MARTA DE PENAGUIÃO</t>
  </si>
  <si>
    <t>1712 VALPAÇOS</t>
  </si>
  <si>
    <t>1713 VILA POUCA DE AGUIAR</t>
  </si>
  <si>
    <t>1714 VILA REAL</t>
  </si>
  <si>
    <t>1801 ARMAMAR</t>
  </si>
  <si>
    <t>1802 CARREGAL DO SAL</t>
  </si>
  <si>
    <t>1803 CASTRO DAIRE</t>
  </si>
  <si>
    <t>1804 CINFÃES</t>
  </si>
  <si>
    <t>1805 LAMEGO</t>
  </si>
  <si>
    <t>1806 MANGUALDE</t>
  </si>
  <si>
    <t>1807 MOIMENTA DA BEIRA</t>
  </si>
  <si>
    <t>1808 MORTÁGUA</t>
  </si>
  <si>
    <t>1809 NELAS</t>
  </si>
  <si>
    <t>1810 OLIVEIRA DE FRADES</t>
  </si>
  <si>
    <t>1811 PENALVA DO CASTELO</t>
  </si>
  <si>
    <t>1812 PENEDONO</t>
  </si>
  <si>
    <t>1813 RESENDE</t>
  </si>
  <si>
    <t>1814 SANTA COMBA DÃO</t>
  </si>
  <si>
    <t>1815 SÃO JOÃO DA PESQUEIRA</t>
  </si>
  <si>
    <t>1816 SÃO PEDRO DO SUL</t>
  </si>
  <si>
    <t>1817 SÁTÃO</t>
  </si>
  <si>
    <t>1818 SERNANCELHE</t>
  </si>
  <si>
    <t>1819 TABUAÇO</t>
  </si>
  <si>
    <t>1820 TAROUCA</t>
  </si>
  <si>
    <t>1821 TONDELA</t>
  </si>
  <si>
    <t>1822 VILA NOVA DE PAIVA</t>
  </si>
  <si>
    <t>1823 VISEU</t>
  </si>
  <si>
    <t>1824 VOUZELA</t>
  </si>
  <si>
    <t>Concelho da empresa</t>
  </si>
  <si>
    <t>Firm municipality</t>
  </si>
  <si>
    <t>Chart 7 • Distribution of the number of employees with foreign nationality by activity sector | Number of individuals</t>
  </si>
  <si>
    <t>Ativ. administrativas</t>
  </si>
  <si>
    <t>Alojamento e restauração</t>
  </si>
  <si>
    <t>Construção</t>
  </si>
  <si>
    <t xml:space="preserve">Comércio </t>
  </si>
  <si>
    <t>Ind. transformadoras</t>
  </si>
  <si>
    <t>Agricultura e pesca</t>
  </si>
  <si>
    <t>Ativ. informação e comunicação</t>
  </si>
  <si>
    <t>Ativ. consultoria e científicas</t>
  </si>
  <si>
    <t>Transportes e armazenagem</t>
  </si>
  <si>
    <t>Outros serviços</t>
  </si>
  <si>
    <t>Imobiliárias</t>
  </si>
  <si>
    <t>Ativ. artísticas</t>
  </si>
  <si>
    <t>Ativ. financeiras e seguros</t>
  </si>
  <si>
    <t>Água</t>
  </si>
  <si>
    <t>Ind. extrativas</t>
  </si>
  <si>
    <t>Eletricidade e gás</t>
  </si>
  <si>
    <t>Administrative activities</t>
  </si>
  <si>
    <t>Accommodation and food services</t>
  </si>
  <si>
    <t>Construction</t>
  </si>
  <si>
    <t>Trade</t>
  </si>
  <si>
    <t>Manufacturing</t>
  </si>
  <si>
    <t>Agriculture and fishing</t>
  </si>
  <si>
    <t>Information and communication</t>
  </si>
  <si>
    <t>Consulting and scientific activities</t>
  </si>
  <si>
    <t>Transportation and storage</t>
  </si>
  <si>
    <t>Other services</t>
  </si>
  <si>
    <t>Real estate</t>
  </si>
  <si>
    <t>Artistic activities</t>
  </si>
  <si>
    <t>Financial and insurance activities</t>
  </si>
  <si>
    <t>Water</t>
  </si>
  <si>
    <t>Mining and quarrying</t>
  </si>
  <si>
    <t>Electricity and gas</t>
  </si>
  <si>
    <t xml:space="preserve">Gráfico 8 • Peso dos trabalhadores com nacionalidade estrangeira no total de trabalhadores por setor de atividade | Percentagem </t>
  </si>
  <si>
    <t>Table 2 • Distribution of foreign employees by nationality in each sector in 2023 | Percentage</t>
  </si>
  <si>
    <t>Europa</t>
  </si>
  <si>
    <t>Fora da Europa</t>
  </si>
  <si>
    <t>Europe</t>
  </si>
  <si>
    <t>Outside Europe</t>
  </si>
  <si>
    <t>Others</t>
  </si>
  <si>
    <t>Chart 9 • Distribution of nominal gross regular wages by age and nationality in 2023 | Euros</t>
  </si>
  <si>
    <t>Painel A – 35 anos ou menos</t>
  </si>
  <si>
    <t>Painel B – Mais de 35 anos</t>
  </si>
  <si>
    <t>Chart 10 • Average and median of nominal gross regular wages by nationality in 2023 | Euros</t>
  </si>
  <si>
    <t>Panel A – Up to 35 years old</t>
  </si>
  <si>
    <t>Panel B – More than 35 years old</t>
  </si>
  <si>
    <t>Source: Social Security microdata (Banco de Portugal calculations). | Notes: employees of working age (16-74 years) and with, at least, the equivalent of a day of remuneration at the firm each month were considered. The remuneration presented corresponds to remuneration equivalent to a full month, that is, it was obtained by dividing the remuneration by the declared number of days and multiplied by 30 (number of days corresponding to a month of full-time work). Regular remuneration includes base remuneration, meal allowance, regular monthly allowances, and bonuses and other monthly benefits. The sectors are arranged in descending order of the number of workers with foreign nationality by activity sector.</t>
  </si>
  <si>
    <t>Source: Social Security microdata (Banco de Portugal calculations). | Notes: employees of working age (16-74 years) and with at least the equivalent of a day of remuneration at the firm each month were considered. The main nationalities represented correspond to the five countries with the highest number of individuals working in Portugal in 2023. The sectors are ordered in decreasing order of the weight of workers with foreign nationality in the total number of workers per sector of activity.</t>
  </si>
  <si>
    <t>Remuneração  média - Nacionalidade portuguesa</t>
  </si>
  <si>
    <t>Remuneração mediana - Nacionalidade portuguesa</t>
  </si>
  <si>
    <t>Remuneração média - Nacionalidade estrangeira</t>
  </si>
  <si>
    <t>Remuneração mediana - Nacionalidade estrangeira</t>
  </si>
  <si>
    <t>Average remuneration - Portuguese nationality</t>
  </si>
  <si>
    <t>Median remuneration - Portuguese nationality</t>
  </si>
  <si>
    <t>Average remuneration - Foreign nationality</t>
  </si>
  <si>
    <t>Median remuneration - Foreign nationality</t>
  </si>
  <si>
    <t>Principais nacionalidades</t>
  </si>
  <si>
    <t>Main nationalities</t>
  </si>
  <si>
    <r>
      <t>Gráfico C1.1 • População residente empregada (20 a 64 anos)</t>
    </r>
    <r>
      <rPr>
        <sz val="9.5"/>
        <color rgb="FF000000"/>
        <rFont val="Times New Roman"/>
        <family val="1"/>
      </rPr>
      <t xml:space="preserve"> </t>
    </r>
    <r>
      <rPr>
        <sz val="11"/>
        <color theme="1"/>
        <rFont val="Calibri"/>
        <family val="2"/>
        <scheme val="minor"/>
      </rPr>
      <t>por nacionalidade e escolaridade máxima| Percentagem do total da população da respetiva nacionalidade</t>
    </r>
  </si>
  <si>
    <t>Nacionalidade</t>
  </si>
  <si>
    <t>Ensino básico</t>
  </si>
  <si>
    <t>Ensino secundário</t>
  </si>
  <si>
    <t>Ensino superior</t>
  </si>
  <si>
    <t>Portuguesa</t>
  </si>
  <si>
    <t>Estrangeira</t>
  </si>
  <si>
    <t>Painel A - 2011</t>
  </si>
  <si>
    <t>Painel B - 2021</t>
  </si>
  <si>
    <t>Fonte: INE - Censos 2011 e 2021 (cálculos do Banco de Portugal).</t>
  </si>
  <si>
    <t>Tertiary education</t>
  </si>
  <si>
    <t>Secondary education</t>
  </si>
  <si>
    <t>Primary education</t>
  </si>
  <si>
    <t>Nationality</t>
  </si>
  <si>
    <t>Portuguese</t>
  </si>
  <si>
    <t>Foreign</t>
  </si>
  <si>
    <t>Chart C1.1 • Resident employed population (20 - 64 years) by nationality and maximum schooling attainment | As a percentage of total population of the respective nationality</t>
  </si>
  <si>
    <t>Panel A - 2011</t>
  </si>
  <si>
    <t>Panel B - 2021</t>
  </si>
  <si>
    <t>Gráfico C1.2 •  Pirâmide etária da população estrangeira empregada em Portugal, por nível máximo de ensino atingido | Número de indivíduos e percentagem com cada nível de ensino</t>
  </si>
  <si>
    <t>Mulheres</t>
  </si>
  <si>
    <t>Homens</t>
  </si>
  <si>
    <t>Básico</t>
  </si>
  <si>
    <t>15 - 19 anos</t>
  </si>
  <si>
    <t>20 - 24 anos</t>
  </si>
  <si>
    <t>25 - 29 anos</t>
  </si>
  <si>
    <t>30 - 34 anos</t>
  </si>
  <si>
    <t>35 - 39 anos</t>
  </si>
  <si>
    <t>40 - 44 anos</t>
  </si>
  <si>
    <t>45 - 49 anos</t>
  </si>
  <si>
    <t>50 - 54 anos</t>
  </si>
  <si>
    <t>55 - 59 anos</t>
  </si>
  <si>
    <t>60 - 64 anos</t>
  </si>
  <si>
    <t>65 + anos</t>
  </si>
  <si>
    <t>Fonte: INE - Censos 2021 (cálculos do Banco de Portugal).</t>
  </si>
  <si>
    <t>Gráfico C1.4 • População empregada (15 ou mais anos) estrangeira e portuguesa por setor de atividade e nível máximo de ensino | Percentagem do total de cada setor em cada nacionalidade</t>
  </si>
  <si>
    <t>Educação</t>
  </si>
  <si>
    <t>Ativ. Inform. e comunicação</t>
  </si>
  <si>
    <t>Atividades imobiliárias</t>
  </si>
  <si>
    <t>Electricidade, gás e água</t>
  </si>
  <si>
    <t>Adm. Pública; Seg. Social</t>
  </si>
  <si>
    <t>Ativ. artísticas e desportivas</t>
  </si>
  <si>
    <t>Saúde e apoio social</t>
  </si>
  <si>
    <t>Indústrias extrativas</t>
  </si>
  <si>
    <t>Indústrias transformadoras</t>
  </si>
  <si>
    <t>Comércio</t>
  </si>
  <si>
    <t>Tratam. água e saneamento</t>
  </si>
  <si>
    <t>Ativ. pessoal domést. e familiar</t>
  </si>
  <si>
    <t>Estrangeiros</t>
  </si>
  <si>
    <t>Fonte: INE - Censos 2021 (cálculos do Banco de Portugal). | Nota: Os setores encontram-se ordenados pelo peso decrescente dos trabalhadores estrangeiros com ensino superior.</t>
  </si>
  <si>
    <t>Source: Statistics Portugal - Census 2011 and 2021 (Banco de Portugal calculations).</t>
  </si>
  <si>
    <t>Quadro  C1.1 • População estrangeira empregada (15 ou mais anos), por nacionalidade e nível máximo de ensino | Número de indivíduos e distribuição por nível de ensino em percentagem</t>
  </si>
  <si>
    <t>Ucrânia</t>
  </si>
  <si>
    <t>Angola</t>
  </si>
  <si>
    <t>China</t>
  </si>
  <si>
    <t>Roménia</t>
  </si>
  <si>
    <t>Guiné-Bissau</t>
  </si>
  <si>
    <t>Espanha</t>
  </si>
  <si>
    <t>Itália</t>
  </si>
  <si>
    <t>França</t>
  </si>
  <si>
    <t>Reino Unido</t>
  </si>
  <si>
    <t>Outros - Europa</t>
  </si>
  <si>
    <t>Outros - não europeus</t>
  </si>
  <si>
    <t>Women</t>
  </si>
  <si>
    <t>Primary</t>
  </si>
  <si>
    <t>Men</t>
  </si>
  <si>
    <t>15 - 19 years</t>
  </si>
  <si>
    <t>20 - 24 years</t>
  </si>
  <si>
    <t>25 - 29 years</t>
  </si>
  <si>
    <t>30 - 34 years</t>
  </si>
  <si>
    <t>35 - 39 years</t>
  </si>
  <si>
    <t>40 - 44 years</t>
  </si>
  <si>
    <t>45 - 49 years</t>
  </si>
  <si>
    <t>50 - 54 years</t>
  </si>
  <si>
    <t>55 - 59 years</t>
  </si>
  <si>
    <t>60 - 64 years</t>
  </si>
  <si>
    <t>65 + years</t>
  </si>
  <si>
    <t>Source: Statistics Portugal - Census 2021 (Banco de Portugal calculations).</t>
  </si>
  <si>
    <t>Chart C1.4 • Foreign and Portuguese employed population (15 and more years) by sector of activity and maximum schooling attainment | Percentage of each sector in the respective nationality</t>
  </si>
  <si>
    <t>Portugueses</t>
  </si>
  <si>
    <t>Education</t>
  </si>
  <si>
    <t>Public administration; Social Security</t>
  </si>
  <si>
    <t>Artistic and sports activities</t>
  </si>
  <si>
    <t>Health and social assistance</t>
  </si>
  <si>
    <t>Domestic related activities and family workers</t>
  </si>
  <si>
    <t>Source: Statistics Portugal - Census 2021 (Banco de Portugal calculations). | Note: Sectores are presented by the descendent weight of the foreign workers with tertiary education.</t>
  </si>
  <si>
    <t>Source: Statistics Portugal - Census 2021 (Banco de Portugal calculations). | Note: Singular countries are presented by the descendent number of individuals of the respective nationality working in Portugal.</t>
  </si>
  <si>
    <t>Ukraine</t>
  </si>
  <si>
    <t>Romenia</t>
  </si>
  <si>
    <t>Spain</t>
  </si>
  <si>
    <t>Italy</t>
  </si>
  <si>
    <t>France</t>
  </si>
  <si>
    <t>United Kingdom</t>
  </si>
  <si>
    <t>Other - Europe</t>
  </si>
  <si>
    <t>Other - outside Europe</t>
  </si>
  <si>
    <t xml:space="preserve">Table C1.1 • Foreign employed population (15 or more years) by nationality and maximum schooling attainment | Total number of individuals and breakdown as a percentage of each educational level for each nationality </t>
  </si>
  <si>
    <t xml:space="preserve">Painel A – IHPC total </t>
  </si>
  <si>
    <t>Painel B – IHPC de bens energéticos</t>
  </si>
  <si>
    <t>IHPC total (tvh, %)</t>
  </si>
  <si>
    <t>Energéticos</t>
  </si>
  <si>
    <t>Componente não energética</t>
  </si>
  <si>
    <t>Eletricidade</t>
  </si>
  <si>
    <t>Gás</t>
  </si>
  <si>
    <t>2021T1</t>
  </si>
  <si>
    <t>2021T2</t>
  </si>
  <si>
    <t>2021T3</t>
  </si>
  <si>
    <t>2021T4</t>
  </si>
  <si>
    <t>2022T1</t>
  </si>
  <si>
    <t>2022T2</t>
  </si>
  <si>
    <t>2022T3</t>
  </si>
  <si>
    <t>2022T4</t>
  </si>
  <si>
    <t>2023T1</t>
  </si>
  <si>
    <t>2023T2</t>
  </si>
  <si>
    <t>2023T3</t>
  </si>
  <si>
    <t>2023T4</t>
  </si>
  <si>
    <t>2024T1</t>
  </si>
  <si>
    <t>Gasóleo+
Gasolina</t>
  </si>
  <si>
    <t xml:space="preserve">Fonte: Eurostat (cálculos do Banco de Portugal). </t>
  </si>
  <si>
    <t>Source: Eurostat (Banco de Portugal calculations).</t>
  </si>
  <si>
    <t>Panel B – HICP of energy goods</t>
  </si>
  <si>
    <t>Energy</t>
  </si>
  <si>
    <t>Non-energy component</t>
  </si>
  <si>
    <t>Electricity</t>
  </si>
  <si>
    <t>Gas</t>
  </si>
  <si>
    <t>Diesel+
Gasoline</t>
  </si>
  <si>
    <t>2021Q1</t>
  </si>
  <si>
    <t>2021Q2</t>
  </si>
  <si>
    <t>2021Q3</t>
  </si>
  <si>
    <t>2021Q4</t>
  </si>
  <si>
    <t>2022Q1</t>
  </si>
  <si>
    <t>2022Q2</t>
  </si>
  <si>
    <t>2022Q3</t>
  </si>
  <si>
    <t>2022Q4</t>
  </si>
  <si>
    <t>2023Q1</t>
  </si>
  <si>
    <t>2023Q2</t>
  </si>
  <si>
    <t>2023Q3</t>
  </si>
  <si>
    <t>2023Q4</t>
  </si>
  <si>
    <t>2024Q1</t>
  </si>
  <si>
    <t>t</t>
  </si>
  <si>
    <t>t +6</t>
  </si>
  <si>
    <t>t +12</t>
  </si>
  <si>
    <t>t +18</t>
  </si>
  <si>
    <t>t +24</t>
  </si>
  <si>
    <t>HICP headline</t>
  </si>
  <si>
    <t>HICP core</t>
  </si>
  <si>
    <t>HICP energy</t>
  </si>
  <si>
    <t>HICP food</t>
  </si>
  <si>
    <t>pp</t>
  </si>
  <si>
    <t>meses após o choque</t>
  </si>
  <si>
    <t>months after shock</t>
  </si>
  <si>
    <t>Panel A – HICP headline</t>
  </si>
  <si>
    <t>Efeito direto</t>
  </si>
  <si>
    <t>Efeito indireto via IHPC alimentares</t>
  </si>
  <si>
    <t>Efeito indireto via IHPC subjacente</t>
  </si>
  <si>
    <t>Outros efeitos não relacionados com os bens energéticos</t>
  </si>
  <si>
    <t>Direct effect</t>
  </si>
  <si>
    <t>Indirect effect via HICP food</t>
  </si>
  <si>
    <t>Indirect effect via HICP core</t>
  </si>
  <si>
    <t>Other effects unrelated with energy goods</t>
  </si>
  <si>
    <t>jan/21</t>
  </si>
  <si>
    <t>fev /21</t>
  </si>
  <si>
    <t>mar/21</t>
  </si>
  <si>
    <t>abr/21</t>
  </si>
  <si>
    <t>mai/21</t>
  </si>
  <si>
    <t>jun/21</t>
  </si>
  <si>
    <t>jul/21</t>
  </si>
  <si>
    <t>ago/21</t>
  </si>
  <si>
    <t>set/21</t>
  </si>
  <si>
    <t>out/21</t>
  </si>
  <si>
    <t>nov/21</t>
  </si>
  <si>
    <t>dez/21</t>
  </si>
  <si>
    <t>jan/22</t>
  </si>
  <si>
    <t>fev /22</t>
  </si>
  <si>
    <t>mar/22</t>
  </si>
  <si>
    <t>abr/22</t>
  </si>
  <si>
    <t>mai/22</t>
  </si>
  <si>
    <t>jun/22</t>
  </si>
  <si>
    <t>jul/22</t>
  </si>
  <si>
    <t>ago/22</t>
  </si>
  <si>
    <t>set/22</t>
  </si>
  <si>
    <t>out/22</t>
  </si>
  <si>
    <t>nov/22</t>
  </si>
  <si>
    <t>dez/22</t>
  </si>
  <si>
    <t>jan/23</t>
  </si>
  <si>
    <t>fev /23</t>
  </si>
  <si>
    <t>mar/23</t>
  </si>
  <si>
    <t>abr/23</t>
  </si>
  <si>
    <t>mai/23</t>
  </si>
  <si>
    <t>jun/23</t>
  </si>
  <si>
    <t>jul/23</t>
  </si>
  <si>
    <t>ago/23</t>
  </si>
  <si>
    <t>set/23</t>
  </si>
  <si>
    <t>out/23</t>
  </si>
  <si>
    <t>nov/23</t>
  </si>
  <si>
    <t>dez/23</t>
  </si>
  <si>
    <t>jan/24</t>
  </si>
  <si>
    <t>fev /24</t>
  </si>
  <si>
    <t>mar/24</t>
  </si>
  <si>
    <t>Fontes: Eurostat e INE (cálculos do Banco de Portugal). | Notas: Resposta a um choque positivo de um desvio padrão na taxa de variação homóloga do IHPC dos bens energéticos, que corresponde a um aumento de 2,2%. Foi estimado um modelo BVAR com volatilidade estocástica e inércia aleatória, usando dados mensais. As variáveis foram transformadas em taxas de variação homóloga. O período de estimação considerado foi jan/04-mar/24. Foram incluídos no modelo 12 desfasamentos de cada variável. As variáveis PIB real e remunerações por trabalhador foram convertidas em frequência mensal usando o método de Litterman. A identificação dos choques foi obtida com recurso à decomposição de Cholesky da matriz de variância-covariância dos resíduos, seguindo a ordem das variáveis pela qual são apresentadas no texto principal. O IHPC total é obtido através da agregação das subcomponentes com recurso aos respetivos pesos anuais.</t>
  </si>
  <si>
    <t>Fonte: Eurostat (cálculos do Banco de Portugal). | Notas: os contributos têm origem na decomposição histórica do modelo BVAR estimado, condicionados pelo método de identificação dos choques estruturais que foi assumido (método de Cholesky). O efeito direto da energia na dinâmica da inflação corresponde ao contributo dos choques estruturais no IHPC dos bens energéticos para a dinâmica do IHPC total. Os efeitos indiretos dizem respeito ao contributo dos choques estruturais no IHPC dos bens energéticos para a dinâmica das restantes componentes do IHPC.</t>
  </si>
  <si>
    <t>Sources: Eurostat (Banco de Portugal calculations). | Notes: .</t>
  </si>
  <si>
    <r>
      <t>unidade/</t>
    </r>
    <r>
      <rPr>
        <i/>
        <sz val="9"/>
        <rFont val="Calibri"/>
        <family val="2"/>
        <scheme val="minor"/>
      </rPr>
      <t>unit</t>
    </r>
    <r>
      <rPr>
        <sz val="9"/>
        <rFont val="Calibri"/>
        <family val="2"/>
        <scheme val="minor"/>
      </rPr>
      <t>: pp</t>
    </r>
  </si>
  <si>
    <t>Total effect on inflation</t>
  </si>
  <si>
    <t>Efeito total na inflação</t>
  </si>
  <si>
    <t>2024 T1</t>
  </si>
  <si>
    <t>2024 Q1</t>
  </si>
  <si>
    <t>Headline inflation</t>
  </si>
  <si>
    <t>por memória: inflação observada</t>
  </si>
  <si>
    <t>Sources: Eurostat (Banco de Portugal calculations). | Notes: the source of the contributes is the historical decomposition of the estimated BVAR model, which is conditioned by the assumed method of identification of structural shocks (Cholesky method). The direct effect of energy on inflation dynamics corresponds to the contribution of structural shocks in the HICP of energy goods to the dynamics of total HICP. The indirect effects refer to the contribution of structural shocks in the HICP of energy goods to the dynamics of the remaining components of the HICP.</t>
  </si>
  <si>
    <t>Sources: Eurostat and Statistics Portugal (Banco de Portugal calculations). | Notes: response to a positive one standard deviation shock in the year-on-year growth rate of the HICP for energy goods, which corresponds to an increase of 2.2%. A BVAR model with stochastic volatility and random inertia was estimated using monthly data. The variables were transformed into year-on-year growth rates. The estimation sample was Jan/04-Mar/24. The model included 12 lags of each variable. The variables real GDP and wages per worker were converted to a monthly frequency using the Litterman method. The identification of shocks was obtained using the Cholesky decomposition of the variance-covariance matrix of the residuals, following the order of the variables as presented in the main text. The total HICP is obtained through the aggregation of the subcomponents using their respective annual weights.</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</si>
  <si>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</si>
  <si>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</si>
  <si>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</si>
  <si>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</si>
  <si>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</si>
  <si>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</si>
  <si>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</si>
  <si>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</si>
  <si>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</si>
  <si>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</si>
  <si>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</si>
  <si>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</si>
  <si>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</si>
  <si>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</si>
  <si>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</si>
  <si>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</si>
  <si>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</si>
  <si>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</si>
  <si>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</si>
  <si>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</si>
  <si>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</si>
  <si>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</si>
  <si>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</si>
  <si>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</si>
  <si>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</si>
  <si>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</si>
  <si>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</si>
  <si>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</si>
  <si>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</si>
  <si>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</si>
  <si>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</si>
  <si>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</si>
  <si>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</si>
  <si>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</si>
  <si>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</si>
  <si>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</si>
  <si>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</si>
  <si>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</si>
  <si>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</si>
  <si>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Agric. silv. e pescas</t>
  </si>
  <si>
    <t>Bens manufaturados</t>
  </si>
  <si>
    <t>Alimentares e bebidas</t>
  </si>
  <si>
    <t>Artigos de borracha e de matérias plásticas</t>
  </si>
  <si>
    <t>Setor têxtil e do calçado</t>
  </si>
  <si>
    <t>Têxteis</t>
  </si>
  <si>
    <t>Vestuário</t>
  </si>
  <si>
    <t>Calçado e produtos de couro</t>
  </si>
  <si>
    <t>Madeira, cortiça e papel</t>
  </si>
  <si>
    <t>Máquinas e equipamentos</t>
  </si>
  <si>
    <t>Material de transporte</t>
  </si>
  <si>
    <t>Minerais e produtos metálicos</t>
  </si>
  <si>
    <t>Produtos químicos</t>
  </si>
  <si>
    <t>Bens não energéticos</t>
  </si>
  <si>
    <t>Bens energéticos</t>
  </si>
  <si>
    <t>TOTAL</t>
  </si>
  <si>
    <t>Agriculture, hunting and fishing</t>
  </si>
  <si>
    <t>Food and beverages</t>
  </si>
  <si>
    <t>Rubber and plastic produtes</t>
  </si>
  <si>
    <t>Textiles, clothing and footwear</t>
  </si>
  <si>
    <t>Textiles</t>
  </si>
  <si>
    <t>Clothing</t>
  </si>
  <si>
    <t>Footwear and leather products</t>
  </si>
  <si>
    <t>Wood, cork, pulp and paper products</t>
  </si>
  <si>
    <t>Machinery and equipment</t>
  </si>
  <si>
    <t>Transport equipment</t>
  </si>
  <si>
    <t>Mineral and metal products</t>
  </si>
  <si>
    <t>Chemical products</t>
  </si>
  <si>
    <t>Non-energy</t>
  </si>
  <si>
    <t>2023 vs 2015</t>
  </si>
  <si>
    <t>Preço de exportação</t>
  </si>
  <si>
    <t>Preço de importação</t>
  </si>
  <si>
    <t>Termos de troca</t>
  </si>
  <si>
    <t>Efeito estrutura</t>
  </si>
  <si>
    <t>Efeito preço relativo</t>
  </si>
  <si>
    <t>Efeito total</t>
  </si>
  <si>
    <t>Export prices</t>
  </si>
  <si>
    <t>Import prices</t>
  </si>
  <si>
    <t>Terms of trade</t>
  </si>
  <si>
    <t>Structural effect</t>
  </si>
  <si>
    <t>Relative price effect</t>
  </si>
  <si>
    <t>Total effect</t>
  </si>
  <si>
    <t>Average weight</t>
  </si>
  <si>
    <t>Contributions</t>
  </si>
  <si>
    <t>Cumulative growth</t>
  </si>
  <si>
    <t>Peso médio no período</t>
  </si>
  <si>
    <t>Crescimento acumulado</t>
  </si>
  <si>
    <t>Contributos</t>
  </si>
  <si>
    <t>Total de bens</t>
  </si>
  <si>
    <t>Bens excluindo energéticos</t>
  </si>
  <si>
    <t>Total of goods</t>
  </si>
  <si>
    <t>Goods excluding energy</t>
  </si>
  <si>
    <t>Fonte: INE – Estatísticas de Comércio Internacional de Bens (cálculos do Banco de Portugal).</t>
  </si>
  <si>
    <t xml:space="preserve">Fonte: INE – Estatísticas de Comércio Internacional de Bens (cálculos do Banco de Portugal). </t>
  </si>
  <si>
    <t>Source: Statistics Portugal - Goods International Trade Statistics (Banco de Portugal calculations).</t>
  </si>
  <si>
    <t>Não energéticos</t>
  </si>
  <si>
    <t>Variação dos termos de troca de bens (pp)</t>
  </si>
  <si>
    <t>Change on goods terms of trade</t>
  </si>
  <si>
    <t>Painel A - Total de bens</t>
  </si>
  <si>
    <t>Contributo do efeito estrutura</t>
  </si>
  <si>
    <t>Contributo do efeito preço relativo</t>
  </si>
  <si>
    <t>Termos de troca total de bens</t>
  </si>
  <si>
    <t>Painel B - Bens excluindo energéticos</t>
  </si>
  <si>
    <t>Panel B - Goods excluding energy</t>
  </si>
  <si>
    <t>Goods Terms of trade</t>
  </si>
  <si>
    <t>Termos de troca excluindo bens energéticos</t>
  </si>
  <si>
    <t>Goods excluding energy terms of trade</t>
  </si>
  <si>
    <t>Notas: A variação dos termos de troca pode ser decomposta na soma dos contributos dos diferentes tipos de produtos i da seguinte forma:</t>
  </si>
  <si>
    <t>ppp</t>
  </si>
  <si>
    <t>Ativ. Artísticas e desportivas</t>
  </si>
  <si>
    <t>Artistic and sportive activities</t>
  </si>
  <si>
    <t>EB June 2024</t>
  </si>
  <si>
    <t>2024(p)</t>
  </si>
  <si>
    <t>2025(p)</t>
  </si>
  <si>
    <t>2026(p)</t>
  </si>
  <si>
    <t>Bens alimentares</t>
  </si>
  <si>
    <t>Food</t>
  </si>
  <si>
    <t>Fontes: Banco de Portugal e INE. | Notas: (p) – projetado. As atuais projeções enquadram-se no exercício de projeção do Eurosistema de junho de 2024, com fecho de dados a 21 de maio e divulgado no dia 6 de junho. A projeção corresponde ao valor mais provável condicional ao conjunto de hipóteses consideradas. Pesos a preços correntes. (a) De acordo com o conceito de Contas Nacionais. (b) Em percentagem da população ativa.</t>
  </si>
  <si>
    <t>Sources: Banco de Portugal and Statistics Portugal. | Notes: (p) – projected. The current projections are part of the Eurosystem projection exercise of June 2024, with cut-off date for macroeconomic projections on  May 21 and released on June 6. For each aggregate, this table shows the projection corresponding to the most likely value, conditional on the set of assumptions. (a) According to the national accounts concept. (b) In percentage of the labour force.</t>
  </si>
  <si>
    <t>Quadro I.1.1 • Projeções do Banco de Portugal para 2024-26 | Taxa de variação anual, em percentagem (exceto onde indicado)</t>
  </si>
  <si>
    <t>Table I.1.1 • Projections of Banco de Portugal for 2024-26| Annual rate of change, in percentage (unless otherwise stated)</t>
  </si>
  <si>
    <t>Gráfico C3.1 • IHPC total e IHPC de bens energéticos | Taxa de variação homóloga em percentagem e contributos em pontos percentuais</t>
  </si>
  <si>
    <t>Gráfico C3.2 • Resposta da inflação e dos seus componentes a um choque de 1 desvio padrão no preço dos bens energéticos | Pontos percentuais</t>
  </si>
  <si>
    <t>Gráfico C3.3 • Decomposição histórica da inflação e contributos diretos e indiretos dos choques estruturais sobre o preço dos bens energéticos | Taxa de variação homóloga em percentagem e contributos erm pontos percentuais</t>
  </si>
  <si>
    <t>Inflação total
(%)</t>
  </si>
  <si>
    <t>Headline inflation (%)</t>
  </si>
  <si>
    <t>Gráfico C2.1 • Termos de troca | Índice 2015 = 100</t>
  </si>
  <si>
    <t>Chart B2.1 • Terms of trade | Index 2015 = 100</t>
  </si>
  <si>
    <t>Gráfico C2.2 • Variação dos termos de troca de bens – contributos da componente energética e não energética | Em pontos percentuais</t>
  </si>
  <si>
    <t xml:space="preserve">Gráfico C2.3 • Variação de termos de troca de bens e contributos dos efeitos estrutura e preço relativo | Em pontos percentuais </t>
  </si>
  <si>
    <t>GC.2.3!A$10</t>
  </si>
  <si>
    <t>GC.2.3!A$11</t>
  </si>
  <si>
    <t>GC.3.2!A$10</t>
  </si>
  <si>
    <t>GC.3.2!A$11</t>
  </si>
  <si>
    <t>GC.3.3!A$10</t>
  </si>
  <si>
    <t>GC.3.3!A$11</t>
  </si>
  <si>
    <t>TED.G2!A$11</t>
  </si>
  <si>
    <t>TED.G3!A$10</t>
  </si>
  <si>
    <t>TED.G4!A$10</t>
  </si>
  <si>
    <t>TED.G5!A$10</t>
  </si>
  <si>
    <t>TED.G6!A$10</t>
  </si>
  <si>
    <t>TED.G7!A$10</t>
  </si>
  <si>
    <t>TED.G8!A$10</t>
  </si>
  <si>
    <t>TED.G9!A$10</t>
  </si>
  <si>
    <t>TED.G10!A$10</t>
  </si>
  <si>
    <t>TED.G3!A$11</t>
  </si>
  <si>
    <t>TED.G4!A$11</t>
  </si>
  <si>
    <t>TED.G5!A$11</t>
  </si>
  <si>
    <t>TED.G6!A$11</t>
  </si>
  <si>
    <t>TED.G7!A$11</t>
  </si>
  <si>
    <t>TED.G8!A$11</t>
  </si>
  <si>
    <t>TED.G9!A$11</t>
  </si>
  <si>
    <t>TED.G10!A$11</t>
  </si>
  <si>
    <t>TED.Q2!A$10</t>
  </si>
  <si>
    <t>TED.Q2!A$11</t>
  </si>
  <si>
    <t>TED.C.G1!A$10</t>
  </si>
  <si>
    <t>TED.C.G1!A$11</t>
  </si>
  <si>
    <t>TED.C.G2!A$10</t>
  </si>
  <si>
    <t>TED.C.G2!A$11</t>
  </si>
  <si>
    <t>TED.C.G3!A$10</t>
  </si>
  <si>
    <t>TED.C.G3!A$11</t>
  </si>
  <si>
    <t>TED.C.G4!A$10</t>
  </si>
  <si>
    <t>TED.C.G4!A$11</t>
  </si>
  <si>
    <t>TED.C.Q1!A$10</t>
  </si>
  <si>
    <t>TED.C.Q1!A$11</t>
  </si>
  <si>
    <t>Gráfico 1 • Despesa com juros da dívida pública em Portugal e na área do euro | Em percentagem do PIB</t>
  </si>
  <si>
    <t>Fontes: Eurostat (cálculos do Banco de Portugal). | Notas: Os juros da dívida pública correspondem aos das administrações públicas, calculados em contas nacionais. A área do euro compreende 19 países, excluindo a Croácia.</t>
  </si>
  <si>
    <t>Source: Eurostat (Banco de Portugal calculations). | Notes: Public debt interest corresponds to that of the general government, calculated in national accounts. The euro area comprises 19 countries, excluding Croatia.</t>
  </si>
  <si>
    <t>Portugal</t>
  </si>
  <si>
    <t>Área do euro</t>
  </si>
  <si>
    <t>Euro area</t>
  </si>
  <si>
    <t>Minimum</t>
  </si>
  <si>
    <t>Maximum</t>
  </si>
  <si>
    <t>Mínimo</t>
  </si>
  <si>
    <t>Máximo</t>
  </si>
  <si>
    <t>Gráfico 2 • Dívida pública em Portugal | Em percentagem do PIB e milhões de euros</t>
  </si>
  <si>
    <t xml:space="preserve">Fontes: INE e Banco de Portugal. </t>
  </si>
  <si>
    <t>Sources: Statistics Portugal and Banco de Portugal.</t>
  </si>
  <si>
    <t>Gráfico 3 • Dívida pública em Portugal e na área do euro | Em percentagem do PIB</t>
  </si>
  <si>
    <t>Chart 3 • Public debt in Portugal and the euro area | Percentage of GDP</t>
  </si>
  <si>
    <t xml:space="preserve">Gráfico 5 • Taxa de juro implícita na dívida pública em Portugal e na área do euro | Em percentagem </t>
  </si>
  <si>
    <t>Chart 5 • Implicit interest rate on public debt in Portugal and the euro area | Percentage</t>
  </si>
  <si>
    <t>Fonte: Eurostat. | Nota: Taxa de juro implícita calculada como o rácio entre a despesa com juros e o stock de dívida no final do ano anterior.</t>
  </si>
  <si>
    <t>Source: Eurostat. | Note: Implicit interest rate calculated as the ratio between interest expenditure and the stock of debt at the end of the previous year.</t>
  </si>
  <si>
    <t xml:space="preserve">Gráfico 8 • Maturidade média residual da dívida pública em Portugal e na área do euro | Anos </t>
  </si>
  <si>
    <t>Chart 8 • Average residual maturity of public debt in Portugal and the euro area | Years</t>
  </si>
  <si>
    <t>Fontes: BCE e IGCP (cálculos do Banco de Portugal). | Nota: A série a tracejado exclui os empréstimos obtidos no âmbito do PAEF, bem como os CA e CT. O intervalo exclui a Grécia.</t>
  </si>
  <si>
    <t>Taxa implícita média</t>
  </si>
  <si>
    <t>Persistência</t>
  </si>
  <si>
    <t>Novas emissões</t>
  </si>
  <si>
    <t>New issuance</t>
  </si>
  <si>
    <t>Persistence</t>
  </si>
  <si>
    <t>Average implicit rate</t>
  </si>
  <si>
    <t xml:space="preserve">Gráfico 10 • Decomposição da taxa de juro implícita da dívida observada e projetada | Em percentagem </t>
  </si>
  <si>
    <t>Chart 10 • Decomposition of the observed and projected implicit interest rate on debt | In percentage</t>
  </si>
  <si>
    <t>Sources: ECB and IGCP (Banco de Portugal calculations). | Note: The dashed series excludes loans obtained under the Financial Assistance Programme, as well as saving and treasury certificates. The range excludes Greece.</t>
  </si>
  <si>
    <t>2001-2010</t>
  </si>
  <si>
    <t>2011-2014</t>
  </si>
  <si>
    <t>2015-2021</t>
  </si>
  <si>
    <t>2022-2023</t>
  </si>
  <si>
    <t>Área do euro / Euro area</t>
  </si>
  <si>
    <t>Efeito crescimento económico</t>
  </si>
  <si>
    <t>Efeito taxa de juro</t>
  </si>
  <si>
    <t>Efeito stock da dívida</t>
  </si>
  <si>
    <t>Var. total</t>
  </si>
  <si>
    <t>Economic growth effect</t>
  </si>
  <si>
    <t>Interest rate effect</t>
  </si>
  <si>
    <t>Debt stock effect</t>
  </si>
  <si>
    <t>Total change</t>
  </si>
  <si>
    <t xml:space="preserve">Fontes: Eurostat (cálculos do Banco de Portugal). </t>
  </si>
  <si>
    <t xml:space="preserve">Source: Eurostat (Banco de Portugal calculations). </t>
  </si>
  <si>
    <t>Gráfico 4 • Decomposição da variação da despesa com juros da dívida pública em percentagem do PIB, em Portugal e na área do euro | Médias anuais, em pontos percentuais</t>
  </si>
  <si>
    <t>Chart 4 • Decomposition of the change in public debt interest expenditure as a percentage of GDP in Portugal and the euro area | Yearly averages, in percentage points</t>
  </si>
  <si>
    <t>Fonte: Refinitiv.</t>
  </si>
  <si>
    <t>Source: Refinitiv.</t>
  </si>
  <si>
    <t>Alemanha</t>
  </si>
  <si>
    <t>Spread</t>
  </si>
  <si>
    <t>Germany</t>
  </si>
  <si>
    <t>Menos de 1 ano</t>
  </si>
  <si>
    <t>Entre 1 e 5 anos</t>
  </si>
  <si>
    <t>Entre 5 e 10 anos</t>
  </si>
  <si>
    <t>Mais de 10 anos</t>
  </si>
  <si>
    <t>2000-2010</t>
  </si>
  <si>
    <r>
      <t>Área do euro /</t>
    </r>
    <r>
      <rPr>
        <i/>
        <sz val="11"/>
        <color theme="1"/>
        <rFont val="Calibri"/>
        <family val="2"/>
      </rPr>
      <t xml:space="preserve"> Euro area</t>
    </r>
  </si>
  <si>
    <t>Less than 1 year</t>
  </si>
  <si>
    <t>1-5 years</t>
  </si>
  <si>
    <t>5-10 years</t>
  </si>
  <si>
    <t>More than 10 years</t>
  </si>
  <si>
    <t>Gráfico 9 • Estrutura de emissões de dívida transacionável por maturidade em Portugal e na área do euro | Em percentagem</t>
  </si>
  <si>
    <t>Chart 9 • Structure of tradeable debt issuances by maturity in Portugal and the euro area | In percentage</t>
  </si>
  <si>
    <t>Gráfico 7 • Estrutura da dívida pública por tipo de instrumento e maturidade original em Portugal e na área do euro | Em percentagem</t>
  </si>
  <si>
    <t>Chart 7 • Structure of public debt by type of instrument and original maturity in Portugal and the euro area | In percentage</t>
  </si>
  <si>
    <t>Fonte: BCE. | Nota: Títulos e empréstimos a curto (longo) prazo incluem dívida emitida com maturidade original inferior (superior) a 1 ano.</t>
  </si>
  <si>
    <t>Source: ECB. | Note: Short-term (long-term) securities and loans include debt issued with original maturity less (more) than 1 year.</t>
  </si>
  <si>
    <t>Chart 1 • Interest expenditure of public debt in Portugal and the euro area | Percentage of GDP</t>
  </si>
  <si>
    <t>Chart 6 • 10-year treasury yields in Portugal and Germany and spread | Percentage and percentage points</t>
  </si>
  <si>
    <t>Portugal excl. PAEF, CA e CT</t>
  </si>
  <si>
    <t>Portugal excl. financial assistance loans and saving and treasury certificates</t>
  </si>
  <si>
    <t>Sources: Economic and Financial Committee's Sub-Committee on EU Sovereign Debt Markets (Banco de Portugal calculations). | Note: Includes issuances conducted by the public debt management agencies of each country, typically responsible only for central government debt.</t>
  </si>
  <si>
    <t xml:space="preserve">Fontes: Subcomité da UE para mercados de dívida soberana, na sigla inglesa ESDM (cálculos do Banco de Portugal). | Nota: Inclui emissões conduzidas pelos gestores de dívida pública de cada país, normalmente responsáveis apenas pela dívida da administração central. </t>
  </si>
  <si>
    <t>Fonte: Cálculos do Banco de Portugal. | Notas: A persistência é medida como o produto entre a taxa de juro implícita do período anterior e uma medida da proporção da dívida que foi emitida em anos anteriores (1-1/maturidade), enquanto as novas emissões correspondem ao produto entre a taxa de juro média das novas emissões (considerando as taxas de juro observadas em mercado secundário para três maturidades de referência: 3 meses, 5 anos e 10 anos) e a fração da dívida a refinanciar no ano (1/maturidade). A taxa de juro das novas emissões corresponde a uma média ponderada considerando a estrutura de emissões e as respetivas taxas do mercado secundário. Para o período de 2024-26 usaram-se as hipóteses subjacentes à projeção do Boletim Económico de Junho de 2024. A componente residual capta a diferença entre a taxa observada ou projetada e a que resultaria da aplicação da equação.</t>
  </si>
  <si>
    <t>Source: Banco de Portugal calculations. | Notes: Persistence is measured as the product of the implicit interest rate from the previous period and a measure of the proportion of debt that was issued in previous years (1-1/maturity), while new issuance corresponds to the product of the average interest rate of new issuances (considering the observed secondary market rates for three reference maturities: 3 months, 5 years, and 10 years) and the fraction of debt to be refinanced in the year (1/maturity). The interest rate for new issuances is a weighted average considering the issuance structure and the respective secondary market rates. For the period 2024-26, the assumptions underlying the June 2024 Economic Bulletin projection were used. The residual component captures the difference between the observed or projected rate and what would result from the application of the equation.</t>
  </si>
  <si>
    <t>PEA.G8!A$10</t>
  </si>
  <si>
    <t>PEA.G8!A$11</t>
  </si>
  <si>
    <t>PEA.G9!A$10</t>
  </si>
  <si>
    <t>PEA.G9!A$11</t>
  </si>
  <si>
    <t>PEA.G10!A$10</t>
  </si>
  <si>
    <t>PEA.G10!A$11</t>
  </si>
  <si>
    <t xml:space="preserve">Gráfico I.1.1 • PIB em Portugal e na área do euro </t>
  </si>
  <si>
    <t xml:space="preserve">Chart I.1.1 • GDP in Portugal and the euro area </t>
  </si>
  <si>
    <t>Índice 2019=100</t>
  </si>
  <si>
    <t xml:space="preserve">Index  2019=100 </t>
  </si>
  <si>
    <t>Intervalo interquartis</t>
  </si>
  <si>
    <t>Interquartile range</t>
  </si>
  <si>
    <t>2019</t>
  </si>
  <si>
    <t>2020</t>
  </si>
  <si>
    <t>2021</t>
  </si>
  <si>
    <t>2022</t>
  </si>
  <si>
    <t>2023</t>
  </si>
  <si>
    <t>2026 (p)</t>
  </si>
  <si>
    <t>Fontes: Banco de Portugal e INE. | Nota: As linhas a tracejado correspondem aos valores projetados nos BE de março e junho de 2024.</t>
  </si>
  <si>
    <t>Sources: Banco de Portugal and Statistics Portugal. | Note: The dashed lines correspond to the projected values in the EB of March and June 2024.</t>
  </si>
  <si>
    <t>Gráfico I.1.2 • Projeções trimestrais para o PIB e para a inflação</t>
  </si>
  <si>
    <t>Chart I.1.2 • Quarterly GDP and inflation projections</t>
  </si>
  <si>
    <t xml:space="preserve">2023 T1 </t>
  </si>
  <si>
    <t xml:space="preserve">2023 T2 </t>
  </si>
  <si>
    <t xml:space="preserve">2023 T3 </t>
  </si>
  <si>
    <t xml:space="preserve">2023 T4 </t>
  </si>
  <si>
    <t xml:space="preserve">2024 T1 </t>
  </si>
  <si>
    <t xml:space="preserve">2024 T2 </t>
  </si>
  <si>
    <t xml:space="preserve">2024 T3 </t>
  </si>
  <si>
    <t xml:space="preserve">2024 T4 </t>
  </si>
  <si>
    <t xml:space="preserve">2025 T1 </t>
  </si>
  <si>
    <t xml:space="preserve">2025 T2 </t>
  </si>
  <si>
    <t xml:space="preserve">2025 T3 </t>
  </si>
  <si>
    <t xml:space="preserve">2025 T4 </t>
  </si>
  <si>
    <t xml:space="preserve">2026 T1 </t>
  </si>
  <si>
    <t xml:space="preserve">2026 T2 </t>
  </si>
  <si>
    <t xml:space="preserve">2026 T3 </t>
  </si>
  <si>
    <t xml:space="preserve">2026 T4 </t>
  </si>
  <si>
    <t xml:space="preserve">2023 Q1 </t>
  </si>
  <si>
    <t xml:space="preserve">2023 Q2 </t>
  </si>
  <si>
    <t xml:space="preserve">2023 Q3 </t>
  </si>
  <si>
    <t xml:space="preserve">2023 Q4 </t>
  </si>
  <si>
    <t xml:space="preserve">2024 Q1 </t>
  </si>
  <si>
    <t xml:space="preserve">2024 Q2 </t>
  </si>
  <si>
    <t xml:space="preserve">2024 Q3 </t>
  </si>
  <si>
    <t xml:space="preserve">2024 Q4 </t>
  </si>
  <si>
    <t xml:space="preserve">2025 Q1 </t>
  </si>
  <si>
    <t xml:space="preserve">2025 Q2 </t>
  </si>
  <si>
    <t xml:space="preserve">2025 Q3 </t>
  </si>
  <si>
    <t xml:space="preserve">2025 Q4 </t>
  </si>
  <si>
    <t xml:space="preserve">2026 Q1 </t>
  </si>
  <si>
    <t xml:space="preserve">2026 Q2 </t>
  </si>
  <si>
    <t xml:space="preserve">2026 Q3 </t>
  </si>
  <si>
    <t xml:space="preserve">2026 Q4 </t>
  </si>
  <si>
    <t>Painel A -  PIB - taxa de variação em cadeia | Percentagem</t>
  </si>
  <si>
    <t>Panel A -  GDP - quarter-on-quarter rate of change | Percentage</t>
  </si>
  <si>
    <t>BE de Junho</t>
  </si>
  <si>
    <t>June EB</t>
  </si>
  <si>
    <t>BE de Março</t>
  </si>
  <si>
    <t>March EB</t>
  </si>
  <si>
    <t xml:space="preserve">Painel B -  IHPC - taxa de variação homóloga | Percentagem </t>
  </si>
  <si>
    <t>Panel B -  HICP - Year-on-year rate of change | Percentage</t>
  </si>
  <si>
    <t>% e pp</t>
  </si>
  <si>
    <t>% and pp</t>
  </si>
  <si>
    <t>2015-2019</t>
  </si>
  <si>
    <t>2020-22</t>
  </si>
  <si>
    <t>PIB (em percentagem)</t>
  </si>
  <si>
    <t>GDP (percentage)</t>
  </si>
  <si>
    <t>Investimento</t>
  </si>
  <si>
    <t>Investment</t>
  </si>
  <si>
    <t xml:space="preserve">Consumo </t>
  </si>
  <si>
    <t xml:space="preserve">Consumption </t>
  </si>
  <si>
    <t>Fontes: Banco de Portugal e INE. | Notas: (p) – projetado. Para informações sobre a metodologia de cálculo dos contributos líquidos de conteúdo importado, ver Cardoso e Rua (2021), “O real contributo da procura final para o crescimento do PIB”, Revista de Estudos Económicos do Banco de Portugal, Volume VII, nº 3.</t>
  </si>
  <si>
    <t>Sources: Banco de Portugal and Statistics Portugal. |  Notes: (p) - projected. For information on the methodology for calculating  import-content net contributions, see Cardoso and Rua (2021), “Unveiling the real contribution of final demand to GDP growth”,  Banco de Portugal Economic Studies, Volume VII, no. 3.</t>
  </si>
  <si>
    <t>Gráfico I.1.4 • Consumo privado e rendimento disponível | Taxa de variação em percentagem e contributos para o rendimento disponível em pontos percentuais</t>
  </si>
  <si>
    <t>Chart I.1.4 • Private consumption and disposable income | Rate of change in percentage and contributions to disposable income in percentage points</t>
  </si>
  <si>
    <t>Consumo privado nominal</t>
  </si>
  <si>
    <t>Nominal private consumption</t>
  </si>
  <si>
    <t>Consumo privado em termos reais</t>
  </si>
  <si>
    <t>Private consumption in real terms</t>
  </si>
  <si>
    <t>Deflator do consumo privado</t>
  </si>
  <si>
    <t>Private consumption deflator</t>
  </si>
  <si>
    <t>Rendimento disponível nominal</t>
  </si>
  <si>
    <t>Nominal disposable income</t>
  </si>
  <si>
    <t>Contributo remunerações</t>
  </si>
  <si>
    <t>Contribution of compensation of employees</t>
  </si>
  <si>
    <t>Contributo transferências internas</t>
  </si>
  <si>
    <t xml:space="preserve">Contribution of domestic transfers </t>
  </si>
  <si>
    <t>Contributo impostos diretos</t>
  </si>
  <si>
    <t>Contribution of direct taxes</t>
  </si>
  <si>
    <t>Contributo outras componentes do rend. disponível</t>
  </si>
  <si>
    <t>Contribution of other disposable income components</t>
  </si>
  <si>
    <t>Por memória: rendimento disponível real</t>
  </si>
  <si>
    <t>Memo: real disposable income</t>
  </si>
  <si>
    <t xml:space="preserve">Fontes: Banco de Portugal e INE. | Nota: (p) – projetado. </t>
  </si>
  <si>
    <t>Sources: Banco de Portugal and Statistics Portugal. |  Note: (p) - projected.</t>
  </si>
  <si>
    <t>Gráfico I.1.5 • FBCF e componentes| Taxa de variação em percentagem</t>
  </si>
  <si>
    <t>Chart I.1.5 • GFCF and components| Rate of change in percentage</t>
  </si>
  <si>
    <t>FBCF Total</t>
  </si>
  <si>
    <t>Total GFCF</t>
  </si>
  <si>
    <t>FBCF Pública</t>
  </si>
  <si>
    <t>Public GFCF</t>
  </si>
  <si>
    <t>FBCF Habitação</t>
  </si>
  <si>
    <t>Housing GFCF</t>
  </si>
  <si>
    <t>FBCF Empresarial</t>
  </si>
  <si>
    <t>Business GFCF</t>
  </si>
  <si>
    <t>Gráfico I.1.6 • Comércio de bens e serviços | Taxa de variação em percentagem e contributos em pontos percentuais</t>
  </si>
  <si>
    <t>Chart I.1.6 • Trade in goods and services | Rate of change in percentage and contributions in percentage points</t>
  </si>
  <si>
    <t>Painel A -  Exportações de bens e serviços e componentes</t>
  </si>
  <si>
    <t>Panel A - Exports of goods and services and components</t>
  </si>
  <si>
    <t>Exportações de bens e serviços</t>
  </si>
  <si>
    <t>Exports of goods and services</t>
  </si>
  <si>
    <t>Bens</t>
  </si>
  <si>
    <t>Goods</t>
  </si>
  <si>
    <t>Por memória: procura externa de bens e serviços</t>
  </si>
  <si>
    <t>Memo: external demand for goods and services</t>
  </si>
  <si>
    <t>Painel B - Importações de bens e serviços e componentes</t>
  </si>
  <si>
    <t>Panel B - Imports of goods and services and components</t>
  </si>
  <si>
    <t>Importações de bens e serviços</t>
  </si>
  <si>
    <t>Imports of goods and services</t>
  </si>
  <si>
    <t>Fontes: Banco de Portugal e INE. | Notas: (p) — projetado. O indicador de procura externa dirigida à economia portuguesa consiste numa média das importações dos parceiros comerciais, ponderadas pelo seu peso nas exportações portuguesas.</t>
  </si>
  <si>
    <t>Sources: Banco de Portugal and Statistics Portugal. |  Notes: (p) - projected. The indicator of external demand for the Portuguese economy consists of an average of imports of trading partners, weighted by their share in Portuguese exports.</t>
  </si>
  <si>
    <t>GI.1.6!A$10</t>
  </si>
  <si>
    <t>GI.1.6!A$11</t>
  </si>
  <si>
    <t>IHPC total</t>
  </si>
  <si>
    <t>IHPC subjacente</t>
  </si>
  <si>
    <t>IHPC alimentares</t>
  </si>
  <si>
    <t>IHPC energia</t>
  </si>
  <si>
    <t>Parte III. Políticas em análise: Juros e gestão da dívida pública em Portugal/Policy insights: Interest expenditure and public debt management in Portugal</t>
  </si>
  <si>
    <t>GC.6.1!A$10</t>
  </si>
  <si>
    <t>GC.6.1!A$11</t>
  </si>
  <si>
    <t>GC.6.2!A$10</t>
  </si>
  <si>
    <t>GC.6.2!A$11</t>
  </si>
  <si>
    <t>GC.6.3!A$10</t>
  </si>
  <si>
    <t>GC.6.3!A$11</t>
  </si>
  <si>
    <t>GC.7.1!A$10</t>
  </si>
  <si>
    <t>GC.7.1!A$11</t>
  </si>
  <si>
    <t>GC.7.2!A$10</t>
  </si>
  <si>
    <t>GC.7.2!A$11</t>
  </si>
  <si>
    <t>GC.7.3!A$10</t>
  </si>
  <si>
    <t>GC.7.3!A$11</t>
  </si>
  <si>
    <t>GC.7.4!A$10</t>
  </si>
  <si>
    <t>GC.7.4!A$11</t>
  </si>
  <si>
    <t>Gráfico I.2.2 Decomposição da variação do saldo das administrações públicas em Portugal e na área do euro| Em pontos percentuais do PIB e do PIB potencial</t>
  </si>
  <si>
    <t>Chart I.2.1 · Breakdown of the change in the general government balance in Portugal and the euro area | Percentage points of GDP and potential GDP</t>
  </si>
  <si>
    <t>Componente cíclica</t>
  </si>
  <si>
    <t>Medidas temporárias</t>
  </si>
  <si>
    <t>Despesa em juros (simétrico)</t>
  </si>
  <si>
    <t>Saldo primário estrutural</t>
  </si>
  <si>
    <t>Saldo total</t>
  </si>
  <si>
    <t>Cyclical component</t>
  </si>
  <si>
    <t>Temporary measures</t>
  </si>
  <si>
    <t>Interest expenditure (symmetric)</t>
  </si>
  <si>
    <t>Structural primary balance</t>
  </si>
  <si>
    <t>Overall balance</t>
  </si>
  <si>
    <t>Acumulado: 20-23</t>
  </si>
  <si>
    <t>Cumulative: 20-23</t>
  </si>
  <si>
    <t>EA</t>
  </si>
  <si>
    <t>pp of GDP</t>
  </si>
  <si>
    <t>Fontes: INE, Comissão Europeia (área do euro) e Banco de Portugal. | Nota: A correção pelos efeitos cíclicos e de medidas temporárias é apurada pelo Banco de Portugal de acordo com a metodologia e as definições utilizadas no SEBC. Para mais detalhes, ver Braz et al. (2019), “A nova metodologia do SEBC para o cálculo dos saldos orçamentais ajustados do ciclo: uma aplicação ao caso português”, Revista de Estudos Económicos, Volume V, nº. 2, Abril, Banco de Portugal.</t>
  </si>
  <si>
    <t>pp do PIB</t>
  </si>
  <si>
    <t>HR</t>
  </si>
  <si>
    <t>EL</t>
  </si>
  <si>
    <t>Fontes: INE e Banco de Portugal (Portugal) e Comissão Europeia (restantes países e agregado da área do euro). | Notas: Os países estão ordenados pelo saldo orçamental de 2023. Os valores projetados pela Comissão Europeia para Portugal são 0,4% e 0,5% do PIB em 2024 e 2025.</t>
  </si>
  <si>
    <t>Sources: Statistics Portugal and Banco de Portugal (Portugal) and European Commission (remaining countries and euro area aggregate). | Notes: Countries are ordered by the 2023 budget balance. The values ​​projected by the European Commission for Portugal are 0.4% and 0.5% of GDP in 2024 and 2025.</t>
  </si>
  <si>
    <t>Gráfico I.2.3 Impacto direto de medidas de política sobre o saldo orçamental em Portugal | Em percentagem do PIB</t>
  </si>
  <si>
    <t>% do PIB</t>
  </si>
  <si>
    <t>Chart I.2.3 · Direct impact of policy measures on the budget balance in Portugal | Percentage of GDP</t>
  </si>
  <si>
    <t>OE 2024</t>
  </si>
  <si>
    <t>Compensação pelo aumento dos preços</t>
  </si>
  <si>
    <t>PRR empréstimos</t>
  </si>
  <si>
    <t>Outras medidas (exc. temporárias)</t>
  </si>
  <si>
    <t>Pós - OE 2024</t>
  </si>
  <si>
    <t>Compensation for price increases</t>
  </si>
  <si>
    <t>Other measures (exc. temporary)</t>
  </si>
  <si>
    <t>RRF loans</t>
  </si>
  <si>
    <t>% of GDP</t>
  </si>
  <si>
    <t>Sources: Statistics Portugal, European Commission (euro area) and Banco de Portugal. | Note: Correction for cyclical effects and temporary measures is calculated by Banco de Portugal in accordance with the methodology and definitions used in the ESCB. For more details, see Braz et al. (2019), “The new ESCB methodology for calculating cyclically adjusted budget balances: an application to the Portuguese case”, Review of Economic Studies, Volume V, no. 2, April, Banco de Portugal.</t>
  </si>
  <si>
    <t>Caixa 2-Termos de troca no comércio de bens /Box 2-Terms of trade in goods</t>
  </si>
  <si>
    <t>Chart B2.2 • Terms of trade in goods change – contributions of energy and non-energy | In percentage points</t>
  </si>
  <si>
    <t>Chart B2.3 • Terms of trade in goods change and contributions of structure and relative price effects | In percentage points</t>
  </si>
  <si>
    <r>
      <t>Índice 2015 = 100/</t>
    </r>
    <r>
      <rPr>
        <i/>
        <sz val="11"/>
        <color theme="1"/>
        <rFont val="Calibri"/>
        <family val="2"/>
      </rPr>
      <t>Index 2015 = 100</t>
    </r>
  </si>
  <si>
    <r>
      <t>Sendo tva</t>
    </r>
    <r>
      <rPr>
        <vertAlign val="superscript"/>
        <sz val="11"/>
        <color theme="1"/>
        <rFont val="Calibri"/>
        <family val="2"/>
        <scheme val="minor"/>
      </rPr>
      <t>X</t>
    </r>
    <r>
      <rPr>
        <vertAlign val="subscript"/>
        <sz val="11"/>
        <color theme="1"/>
        <rFont val="Calibri"/>
        <family val="2"/>
        <scheme val="minor"/>
      </rPr>
      <t>i,t</t>
    </r>
    <r>
      <rPr>
        <sz val="11"/>
        <color theme="1"/>
        <rFont val="Calibri"/>
        <family val="2"/>
        <scheme val="minor"/>
      </rPr>
      <t xml:space="preserve"> e w</t>
    </r>
    <r>
      <rPr>
        <vertAlign val="superscript"/>
        <sz val="11"/>
        <color theme="1"/>
        <rFont val="Calibri"/>
        <family val="2"/>
        <scheme val="minor"/>
      </rPr>
      <t>X</t>
    </r>
    <r>
      <rPr>
        <vertAlign val="subscript"/>
        <sz val="11"/>
        <color theme="1"/>
        <rFont val="Calibri"/>
        <family val="2"/>
        <scheme val="minor"/>
      </rPr>
      <t>i,t</t>
    </r>
    <r>
      <rPr>
        <sz val="11"/>
        <color theme="1"/>
        <rFont val="Calibri"/>
        <family val="2"/>
        <scheme val="minor"/>
      </rPr>
      <t xml:space="preserve"> (tva</t>
    </r>
    <r>
      <rPr>
        <vertAlign val="superscript"/>
        <sz val="9.35"/>
        <color theme="1"/>
        <rFont val="Calibri"/>
        <family val="2"/>
      </rPr>
      <t>M</t>
    </r>
    <r>
      <rPr>
        <vertAlign val="subscript"/>
        <sz val="11"/>
        <color theme="1"/>
        <rFont val="Calibri"/>
        <family val="2"/>
        <scheme val="minor"/>
      </rPr>
      <t>i,t</t>
    </r>
    <r>
      <rPr>
        <sz val="11"/>
        <color theme="1"/>
        <rFont val="Calibri"/>
        <family val="2"/>
        <scheme val="minor"/>
      </rPr>
      <t xml:space="preserve"> e w</t>
    </r>
    <r>
      <rPr>
        <vertAlign val="superscript"/>
        <sz val="11"/>
        <color theme="1"/>
        <rFont val="Calibri"/>
        <family val="2"/>
        <scheme val="minor"/>
      </rPr>
      <t>M</t>
    </r>
    <r>
      <rPr>
        <vertAlign val="subscript"/>
        <sz val="11"/>
        <color theme="1"/>
        <rFont val="Calibri"/>
        <family val="2"/>
        <scheme val="minor"/>
      </rPr>
      <t>i,t</t>
    </r>
    <r>
      <rPr>
        <sz val="11"/>
        <color theme="1"/>
        <rFont val="Calibri"/>
        <family val="2"/>
        <scheme val="minor"/>
      </rPr>
      <t>) a taxa de variação anual do preço e o peso nas exportações totais (importações) de cada componente i em t. O efeito estrutura mede o impacto sobre os termos de troca da especialização setorial da economia. O efeito preço relativo mede o efeito da evolução diferenciada dos preços de exportação e importação em cada setor. Para mais detalhes, ver Cardoso, F. e Esteves, P. (2008), “Globalização, alterações estruturais das exportações e termos de troca de Portugal”, Boletim Económico Primavera 2008, Banco de Portugal.</t>
    </r>
  </si>
  <si>
    <t>Quadro C3.1 • Contributo para a inflação dos choques estruturais sobre o preço da energia | Pontos percentuais</t>
  </si>
  <si>
    <r>
      <t xml:space="preserve">Gráfico 6 • Taxas de juro da dívida soberana (a 10 anos) em Portugal e na Alemanha e </t>
    </r>
    <r>
      <rPr>
        <i/>
        <sz val="11"/>
        <color theme="1"/>
        <rFont val="Calibri"/>
        <family val="2"/>
      </rPr>
      <t>spread</t>
    </r>
    <r>
      <rPr>
        <sz val="11"/>
        <color theme="1"/>
        <rFont val="Calibri"/>
        <family val="2"/>
        <scheme val="minor"/>
      </rPr>
      <t xml:space="preserve"> | Em percentagem e pontos percentuais</t>
    </r>
  </si>
  <si>
    <r>
      <t>Em percentagem do PIB/</t>
    </r>
    <r>
      <rPr>
        <i/>
        <sz val="11"/>
        <rFont val="Calibri"/>
        <family val="2"/>
      </rPr>
      <t xml:space="preserve"> In percentage of GDP</t>
    </r>
  </si>
  <si>
    <r>
      <t>Anos/</t>
    </r>
    <r>
      <rPr>
        <i/>
        <sz val="11"/>
        <rFont val="Calibri"/>
        <family val="2"/>
      </rPr>
      <t>Years</t>
    </r>
  </si>
  <si>
    <r>
      <t xml:space="preserve">Em milhões de euros/ </t>
    </r>
    <r>
      <rPr>
        <i/>
        <sz val="11"/>
        <rFont val="Calibri"/>
        <family val="2"/>
      </rPr>
      <t>Million euro</t>
    </r>
    <r>
      <rPr>
        <sz val="11"/>
        <rFont val="Calibri"/>
        <family val="2"/>
        <scheme val="minor"/>
      </rPr>
      <t>s</t>
    </r>
  </si>
  <si>
    <t>número de trabalhadores/number of employees</t>
  </si>
  <si>
    <r>
      <t xml:space="preserve">Milhares de empresas/ </t>
    </r>
    <r>
      <rPr>
        <i/>
        <sz val="11"/>
        <color theme="1"/>
        <rFont val="Calibri"/>
        <family val="2"/>
      </rPr>
      <t>Thousands of firms</t>
    </r>
  </si>
  <si>
    <r>
      <t xml:space="preserve"> Número de indivíduos/</t>
    </r>
    <r>
      <rPr>
        <i/>
        <sz val="10"/>
        <color theme="1"/>
        <rFont val="Calibri"/>
        <family val="2"/>
      </rPr>
      <t xml:space="preserve"> Number of individuals</t>
    </r>
  </si>
  <si>
    <r>
      <t>Anos/</t>
    </r>
    <r>
      <rPr>
        <i/>
        <sz val="11"/>
        <color theme="1"/>
        <rFont val="Calibri"/>
        <family val="2"/>
      </rPr>
      <t>Years</t>
    </r>
  </si>
  <si>
    <r>
      <t xml:space="preserve"> Número de indivíduos/</t>
    </r>
    <r>
      <rPr>
        <i/>
        <sz val="10"/>
        <color theme="1"/>
        <rFont val="Calibri"/>
        <family val="2"/>
      </rPr>
      <t xml:space="preserve"> 
Number of individuals</t>
    </r>
  </si>
  <si>
    <t>Euros</t>
  </si>
  <si>
    <t xml:space="preserve">Chart C1.2 • Age pyramid of foreign population employed in Portugal by maximum schooling attainment | Number of individuals and their percentage at each level of schooling attainment </t>
  </si>
  <si>
    <t>Quadro C1.1 • Hipóteses do exercício de projeção elaboradas por especialistas do Eurosistema</t>
  </si>
  <si>
    <t>BE junho 2024</t>
  </si>
  <si>
    <t>Revisões face ao BE março 2024</t>
  </si>
  <si>
    <t>EB june 2024</t>
  </si>
  <si>
    <t>Revisions from EB march 2024</t>
  </si>
  <si>
    <t>Fontes: Banco de Portugal e Eurosistema (cálculos do Banco de Portugal). | Notas: tva – taxa de variação anual, % – em percentagem, vma – valor médio anual, MWh – megawatt-hora. As hipóteses técnicas e de enquadramento externo e as projeções para o PIB e inflação da área do euro coincidem com as do exercício de projeção do Eurosistema divulgado a 6 de junho (ver “Projeções macroeconómicas para a área do euro elaboradas por especialistas do Eurosistema”, junho de 2024), incluindo a informação disponível até 21 de maio. Os preços internacionais são medidos em euros. A hipótese técnica para o preço do petróleo, gás e matérias-primas não energéticas assenta nos mercados de futuros. O preço de importação dos concorrentes corresponde a uma média ponderada dos deflatores de exportação dos países dos quais Portugal importa, ponderada pelo peso relativo nas importações portuguesas (para mais informação, ver “Trade consistency in the context of the Eurosystem projection exercises: an overview”, ECB Ocasional Paper 108, março de 2010). A evolução da taxa EURIBOR a 3 meses tem por base as expetativas implícitas nos contratos de futuros. A taxa de juro implícita da dívida pública é calculada como o rácio entre a despesa em juros do ano e a média simples do stock da dívida no final do ano e no final do ano anterior. Um aumento da taxa de câmbio corresponde a uma apreciação. O índice de taxa de câmbio efetiva do euro é calculado face a um grupo de 42 países parceiros. A revisão da taxa de câmbio euro-dólar é apresentada em percentagem. A hipótese técnica para as taxas de câmbio bilaterais pressupõe a manutenção ao longo do horizonte de projeção dos níveis médios observados nas duas semanas anteriores à data de fecho da informação.</t>
  </si>
  <si>
    <t>Painel A - Bens excluindo alimentares e energéticos</t>
  </si>
  <si>
    <t>Painel B - Serviços</t>
  </si>
  <si>
    <t>Panel A - Goods excluding food and energy</t>
  </si>
  <si>
    <t>Panel B - Services</t>
  </si>
  <si>
    <t xml:space="preserve"> Taxa de variação em cadeia anualizada sobre dados corrigidos de variações sazonais e em média móvel de 3 meses /Annualized quarter-on-quarter variation rate of 3-month moving average and seasonally adjusted data</t>
  </si>
  <si>
    <t>IHPC - bens exc. alim. e energ.</t>
  </si>
  <si>
    <t>Média 2014-19</t>
  </si>
  <si>
    <t>PMI - preço dos inputs na indústria (t-10)</t>
  </si>
  <si>
    <t>IHPC - serviços</t>
  </si>
  <si>
    <t>PMI - preço dos inputs nos serviços (t-6)</t>
  </si>
  <si>
    <t>HICP - goods exc. food and energy</t>
  </si>
  <si>
    <t>Average 2014-19</t>
  </si>
  <si>
    <t>PMI - input prices in manufacturing (t-10)</t>
  </si>
  <si>
    <t>HICP - services</t>
  </si>
  <si>
    <t>Average 2014-20</t>
  </si>
  <si>
    <t>PMI - input prices in services (t-6)</t>
  </si>
  <si>
    <t>Fontes: Eurostat e S&amp;P Global (cálculos do Banco de Portugal).| Notas: A taxa de variação em cadeia da média móvel a 3 meses considera informação do IHPC corrigido de variações sazonais num período de 6 meses, correspondendo à variação da média dos últimos 3 meses sobre a média do período de 3 meses imediatamente anterior. Os indicadores PMI para os preços dos inputs da indústria e dos serviços sofreram uma alteração de escala de maneira a apresentarem a mesma média e desvio-padrão do indicador de inflação subjacente correspondente, e foram desfasados 10 e 6 meses, respetivamente.</t>
  </si>
  <si>
    <t>Sources: Eurostat and S&amp;P Global (Banco de Portugal calculations).| Notes: The quarter-on-quarter variation rate of the 3-month moving average considers information from the seasonally adjusted HIPC over a period of six months, corresponding to the variation of the average of the last 3 months over the average of the immediately preceding 3-month period. The scale of PMI indicators for input prices in manufacturing and services was changed so that they present the mean and standard deviation of the corresponding underlying inflation indicator, and were lagged by 10 and 6 months, respectively.</t>
  </si>
  <si>
    <t>Gráfico C1.2 • Hipóteses do exercício de projeção para o preço da energia e das outras matérias-primas e para a taxa de juro de curto prazo</t>
  </si>
  <si>
    <t>Painel A - Indicador sintético do preço da energia (petróleo e gás)</t>
  </si>
  <si>
    <t>Painel B - Preço das matérias-primas exceto energia</t>
  </si>
  <si>
    <t>Painel C - Taxa de juro EURIBOR a 3 meses</t>
  </si>
  <si>
    <t>Panel A - Synthetic energy price index (oil and gas)</t>
  </si>
  <si>
    <t>Panel B - Non-oil commodity prices</t>
  </si>
  <si>
    <t>Panel C - Short-term interest rate (3-month EURIBOR)</t>
  </si>
  <si>
    <t>EUR/MWh</t>
  </si>
  <si>
    <t>2005=100</t>
  </si>
  <si>
    <t>Percentagem/Percentage</t>
  </si>
  <si>
    <t>Observado</t>
  </si>
  <si>
    <t>Observed</t>
  </si>
  <si>
    <t>2019Q1</t>
  </si>
  <si>
    <t>2019T1</t>
  </si>
  <si>
    <t>2019Q2</t>
  </si>
  <si>
    <t>2019T2</t>
  </si>
  <si>
    <t>2019Q3</t>
  </si>
  <si>
    <t>2019T3</t>
  </si>
  <si>
    <t>2019Q4</t>
  </si>
  <si>
    <t>2019T4</t>
  </si>
  <si>
    <t>2020Q1</t>
  </si>
  <si>
    <t>2020T1</t>
  </si>
  <si>
    <t>2020Q2</t>
  </si>
  <si>
    <t>2020T2</t>
  </si>
  <si>
    <t>2020Q3</t>
  </si>
  <si>
    <t>2020T3</t>
  </si>
  <si>
    <t>2020Q4</t>
  </si>
  <si>
    <t>2020T4</t>
  </si>
  <si>
    <t>2024Q2</t>
  </si>
  <si>
    <t>2024T2</t>
  </si>
  <si>
    <t>2024Q3</t>
  </si>
  <si>
    <t>2024T3</t>
  </si>
  <si>
    <t>2024Q4</t>
  </si>
  <si>
    <t>2024T4</t>
  </si>
  <si>
    <t>2025Q1</t>
  </si>
  <si>
    <t>2025T1</t>
  </si>
  <si>
    <t>2025Q2</t>
  </si>
  <si>
    <t>2025T2</t>
  </si>
  <si>
    <t>2025Q3</t>
  </si>
  <si>
    <t>2025T3</t>
  </si>
  <si>
    <t>2025Q4</t>
  </si>
  <si>
    <t>2025T4</t>
  </si>
  <si>
    <t>2026Q1</t>
  </si>
  <si>
    <t>2026T1</t>
  </si>
  <si>
    <t>2026Q2</t>
  </si>
  <si>
    <t>2026T2</t>
  </si>
  <si>
    <t>2026Q3</t>
  </si>
  <si>
    <t>2026T3</t>
  </si>
  <si>
    <t>2026Q4</t>
  </si>
  <si>
    <t>2026T4</t>
  </si>
  <si>
    <t>Fontes: Eurosistema e Refinitiv (cálculos do Banco de Portugal).| Notas: As linhas a tracejado englobam o período posterior ao último trimestre completo aquando da data de fecho das hipóteses técnicas do exercício de projeção. As hipóteses técnicas para o preço do petróleo, do gás e das outras matérias-primas assentam nos mercados de futuros. O indicador sintético do preço da energia é uma média ponderada dos preços do petróleo e gás, ambos expressos em EUR/MWh (com ponderadores para Portugal baseados nas importações líquidas respetivas).</t>
  </si>
  <si>
    <t>Sources: Eurosystem and Refinitiv (Banco de Portugal calculations)| Notes: The dashed lines encompass the period after the last complete quarter at the closing date of the technical assumptions of the projection exercise. Technical assumptions for the price of oil, gas and other raw materials are based on futures markets. The synthetic energy price indicator is a weighted average of oil and gas prices, both expressed in EUR/MWh (with weights for Portugal based on the respective net imports).</t>
  </si>
  <si>
    <t xml:space="preserve">Gráfico C1.1 •  IHPC e indicador PMI para o preço dos inputs na área do euro |  Taxa de variação em cadeia anualizada sobre dados corrigidos de variações sazonais e em média móvel de 3 meses </t>
  </si>
  <si>
    <t>Sources: Banco de Portugal and Eurosystem (Banco de Portugal calculations). | Notes: yoy – year-on-year rate of change, % – in percentage, aav – annual average value, MWh – megawatt-hour. Technical and external environment assumptions, as well as projections for euro area GDP and inflation, coincide with those in the ECB projection exercise released on June 6 (see "Eurosystem staff macroeconomic projections for the euro area", june 2024), which include information up to May 21. International prices are in euros. The technical assumptions for the price of oil, gas and non-energy commodities is based on futures markets. The import price of competitors corresponds to a weighted average of the export deflators of the countries from which Portugal imports, weighted by their share on total Portuguese imports (for more information, see "Trade consistency in the context of the Eurosystem projection exercises: an overview", ECB Occasional Paper 108, March 2010). The evolution of the 3-month EURIBOR is based on expectations implied in futures contracts. The implicit interest rate on public debt is computed as the ratio of interest expenditure for the year to the simple average of the stock of debt at the end of the same year and at the end of the preceding year. An increase in the exchange rate corresponds to an appreciation of the euro. The effective exchange rate of the euro is computed against 41 trading partner countries. The technical assumption for bilateral exchange rates assumes that the average levels observed in the 10 business days prior to the cut-off date are maintained over the projection horizon.</t>
  </si>
  <si>
    <t>Fonte: Banco de Portugal. | Nota: A componente ‘Pós-OE2024’ refere-se às medidas adotadas recentemente, incluindo a abolição das portagens nas ex-SCUT e as alterações ao Complemento Solidário para Idosos.</t>
  </si>
  <si>
    <t>Post-Budget 2024</t>
  </si>
  <si>
    <t>Budget 2024</t>
  </si>
  <si>
    <t>Gráfico I.2.4 Decomposição da variação da receita fiscal e contributiva em Portugal | Em pontos percentuais do PIB</t>
  </si>
  <si>
    <t>Chart I.2.4 ·  Breakdown of the change in revenue from taxes and social contributions in Portugal | Percentage points of GDP</t>
  </si>
  <si>
    <t>Efeito da progressividade fiscal</t>
  </si>
  <si>
    <t>Efeito da composição do crescimento</t>
  </si>
  <si>
    <t>Impacto de medidas</t>
  </si>
  <si>
    <t>Resíduo</t>
  </si>
  <si>
    <t>Fiscal drag</t>
  </si>
  <si>
    <t>Growth composition effect</t>
  </si>
  <si>
    <t>Impact of measures</t>
  </si>
  <si>
    <t>Residual</t>
  </si>
  <si>
    <t>Fontes: INE e Banco de Portugal. | Nota: Para mais detalhes, ver Braz et al. (2019).</t>
  </si>
  <si>
    <t>Gráfico I.2.5 Decomposição da variação da despesa corrente primária estrutural em Portugal | Em pontos percentuais do PIB e do PIB potencial</t>
  </si>
  <si>
    <t>Chart I.2.5 ·  Breakdown of the change in structural primary current expenditure in Portugal | Percentage points of GDP and potencial GDP</t>
  </si>
  <si>
    <t>Remunerações</t>
  </si>
  <si>
    <t>Consumo intermédio</t>
  </si>
  <si>
    <t>Prestações sociais</t>
  </si>
  <si>
    <t>Outra</t>
  </si>
  <si>
    <t>Compensation of employees</t>
  </si>
  <si>
    <t>Intermediate consumption</t>
  </si>
  <si>
    <t>Social payments</t>
  </si>
  <si>
    <t>Fontes: INE e Banco de Portugal.</t>
  </si>
  <si>
    <t>Source: Statistics Portugal and Banco de Portugal. | Note: For more details, see Braz et al. (2019).</t>
  </si>
  <si>
    <t>Gráfico I.2.6 Repartição temporal da despesa pública no âmbito do PRR em Portugal | Em percentagem do total do PRR em 2021-2026</t>
  </si>
  <si>
    <t>% do total</t>
  </si>
  <si>
    <t>% of total</t>
  </si>
  <si>
    <t>Chart I.2.6 ·  Temporal allocation of public expenditure within the scope of the RRP in Portugal | Percentage of total RRP in 2021-2026</t>
  </si>
  <si>
    <t>Despesa financiada por subvenções</t>
  </si>
  <si>
    <t>Despesa financiada por empréstimos</t>
  </si>
  <si>
    <t>Expenditure financed by grants</t>
  </si>
  <si>
    <t>Expenditure financed by loans</t>
  </si>
  <si>
    <t>Fontes: INE, Ministério das Finanças e Banco de Portugal.</t>
  </si>
  <si>
    <t>Sources: Statistics Portugal, Ministry of Finance and Banco de Portugal.</t>
  </si>
  <si>
    <t>Gráfico I.2.7 Investimento público em Portugal | Em percentagem do PIB</t>
  </si>
  <si>
    <t>Chart I.2.7 ·  Public investment in Portugal | Percentage of GDP</t>
  </si>
  <si>
    <t>Excluindo PRR</t>
  </si>
  <si>
    <t>Excl. PRR e outros fundos da UE</t>
  </si>
  <si>
    <t>Excluding RRP</t>
  </si>
  <si>
    <t>Excl. RRP and other EU funds</t>
  </si>
  <si>
    <t>Fontes: INE e Banco de Portugal. | Nota: Os valores entre parêntesis correspondem às taxas de variação do investimento público total, em termos nominais.</t>
  </si>
  <si>
    <t>Sources: Statistics Portugal and Banco de Portugal. | Note: The values in parentheses correspond to the rates of change in total public investment, in nominal terms.</t>
  </si>
  <si>
    <t>Gráfico I.2.8 Dívida pública observada e projetada em Portugal e na área do euro | Em percentagem do PIB</t>
  </si>
  <si>
    <t>Chart I.2.8 · Public debt observed and projected in Portugal and the euro area | Percentage of GDP</t>
  </si>
  <si>
    <t>Fontes: Banco de Portugal (Portugal) e Comissão Europeia (restantes países e agregado da área do euro). | Notas: Os países estão ordenados pelo rácio da dívida de 2023. Os valores projetados pela Comissão Europeia para Portugal são 95,6% do PIB em 2024 e 91,5% em 2025.</t>
  </si>
  <si>
    <t>Sources: Banco de Portugal (Portugal) and European Commission (remaining countries and euro area aggregate). | Notes: Countries are ordered by the 2023 debt ratio. The values ​​projected by the European Commission for Portugal are 95,4% in 2024 and 91.5% of GDP in 2025.</t>
  </si>
  <si>
    <t>Gráfico I.2.9 Contributos para a variação do rácio da dívida pública | Em pontos percentuais do PIB</t>
  </si>
  <si>
    <t>Chart I.2.9 ·  Breakdown of the change in the debt ratio | In percentage points of GDP</t>
  </si>
  <si>
    <t>Despesa em juros</t>
  </si>
  <si>
    <t xml:space="preserve">Efeito do saldo primário </t>
  </si>
  <si>
    <t>Ajustamentos défice-dívida</t>
  </si>
  <si>
    <t xml:space="preserve">Efeito denominador: deflator </t>
  </si>
  <si>
    <t xml:space="preserve">Efeito denominador: volume </t>
  </si>
  <si>
    <t>Variação da dívida</t>
  </si>
  <si>
    <t xml:space="preserve">Interest expenditure </t>
  </si>
  <si>
    <t>Effect of primary balance</t>
  </si>
  <si>
    <t>Deficit-debt adjustments</t>
  </si>
  <si>
    <t>Denominator effect: deflator</t>
  </si>
  <si>
    <t xml:space="preserve">Denominator effect: volume </t>
  </si>
  <si>
    <t xml:space="preserve">Change in debt </t>
  </si>
  <si>
    <t>Fontes: INE e Banco de Portugal. | Notas: Na projeção, assume-se a hipótese técnica de ajustamentos défice-dívida nulos. A diferença entre as despesas em juros e o efeito denominador total corresponde ao ‘efeito bola de neve’.</t>
  </si>
  <si>
    <t>Sources: Statistics Portugal and Banco de Portugal. | Notes:The projection considers a technical assumption of zero deficit-debt adjustments. The difference between interest expenditure and the total denominator effect corresponds to the ‘snowball effect’.</t>
  </si>
  <si>
    <t>Caixa 5 - O referencial para a despesa pública utilizado nas regras orçamentais europeias e as medidas de política orçamental para os próximos anos/Box 5 - The expenditure benchmark used in European fiscal rules and the budgetary policy measures for the coming years</t>
  </si>
  <si>
    <t>Caixa 6 - O efeito direto da inflação e da progressividade sobre a receita fiscal e contributiva/Box 6 - The direct effect of inflation and progressivity on tax and social contributions revenue</t>
  </si>
  <si>
    <t>Caixa 7 - Trajetórias para a dívida pública portuguesa/Box 7 - Trajectories for Portuguese public debt</t>
  </si>
  <si>
    <t>Taxa de var. %</t>
  </si>
  <si>
    <t>Rate of change %</t>
  </si>
  <si>
    <t>Referencial para a despesa pública</t>
  </si>
  <si>
    <t>PIB potencial nominal</t>
  </si>
  <si>
    <t>Expenditure benchmark</t>
  </si>
  <si>
    <t>Nominal potencial GDP</t>
  </si>
  <si>
    <t>Fontes: Comissão Europeia e cálculos do Banco de Portugal. | Notas: O referencial para a despesa pública é definido como a despesa primária líquida de medidas discricionárias do lado da receita, de programas de despesa financiados por fundos europeus, da componente cíclica dos subsídios de desemprego e de medidas temporárias, classificadas de acordo com a definição da Comissão Europeia. O investimento público financiado nacionalmente é alisado com uma média de quatro anos: o ano corrente e os três anteriores. O PIB potencial nominal é o calculado pela Comissão Europeia.</t>
  </si>
  <si>
    <t>(1) Margem para a variação do referencial da despesa</t>
  </si>
  <si>
    <t>(função da despesa relevante e definida com a taxa de crescimento do PIB potencial nominal)</t>
  </si>
  <si>
    <t>(2) Variação das componentes da despesa</t>
  </si>
  <si>
    <t>Variação resultante da dinâmica regular da despesa e de compromissos anteriores</t>
  </si>
  <si>
    <t xml:space="preserve">   Despesas com pessoal</t>
  </si>
  <si>
    <t xml:space="preserve">   Pensões e outras prestações sociais em dinheiro</t>
  </si>
  <si>
    <t xml:space="preserve">   Consumo intermédio e prestações sociais em espécie</t>
  </si>
  <si>
    <r>
      <t xml:space="preserve">   Média do investimento com financiamento nacional</t>
    </r>
    <r>
      <rPr>
        <vertAlign val="superscript"/>
        <sz val="10"/>
        <rFont val="Calibri"/>
        <family val="2"/>
        <scheme val="minor"/>
      </rPr>
      <t>(a)</t>
    </r>
  </si>
  <si>
    <r>
      <t xml:space="preserve">   Outra despesa corrente e de capital</t>
    </r>
    <r>
      <rPr>
        <vertAlign val="superscript"/>
        <sz val="10"/>
        <rFont val="Calibri"/>
        <family val="2"/>
        <scheme val="minor"/>
      </rPr>
      <t>(a)</t>
    </r>
  </si>
  <si>
    <t>Sub-total</t>
  </si>
  <si>
    <t>Novas medidas com quantificação oficial, fora do Orçamento, com efeitos em 2025</t>
  </si>
  <si>
    <r>
      <t>Expansão do CSI</t>
    </r>
    <r>
      <rPr>
        <vertAlign val="superscript"/>
        <sz val="10"/>
        <rFont val="Calibri"/>
        <family val="2"/>
        <scheme val="minor"/>
      </rPr>
      <t>(b)</t>
    </r>
  </si>
  <si>
    <r>
      <t>Apoio aos jovens</t>
    </r>
    <r>
      <rPr>
        <vertAlign val="superscript"/>
        <sz val="10"/>
        <rFont val="Calibri"/>
        <family val="2"/>
        <scheme val="minor"/>
      </rPr>
      <t>(b)</t>
    </r>
  </si>
  <si>
    <r>
      <t>Revisão das carreiras: Professores</t>
    </r>
    <r>
      <rPr>
        <vertAlign val="superscript"/>
        <sz val="10"/>
        <rFont val="Calibri"/>
        <family val="2"/>
        <scheme val="minor"/>
      </rPr>
      <t>(b)</t>
    </r>
  </si>
  <si>
    <t>(3) Variação discricionária da receita</t>
  </si>
  <si>
    <t>Medidas orçamentadas em 2024, já implementadas, mas com efeitos em 2025</t>
  </si>
  <si>
    <t>Redução do IRS (efeito desfasado)</t>
  </si>
  <si>
    <t>IRC: fim dos créditos fiscais</t>
  </si>
  <si>
    <t>Medidas orçamentadas em 2024, não implementadas, com potenciais efeitos em 2025</t>
  </si>
  <si>
    <t>Aumento do ISP (requer Portaria a atualizar o valor)</t>
  </si>
  <si>
    <r>
      <t>Redução do IRS Jovem + Isenção de IMT e Imposto do Selo</t>
    </r>
    <r>
      <rPr>
        <vertAlign val="superscript"/>
        <sz val="10"/>
        <rFont val="Calibri"/>
        <family val="2"/>
        <scheme val="minor"/>
      </rPr>
      <t>(b)</t>
    </r>
  </si>
  <si>
    <r>
      <t>Redução geral do IRS</t>
    </r>
    <r>
      <rPr>
        <vertAlign val="superscript"/>
        <sz val="10"/>
        <rFont val="Calibri"/>
        <family val="2"/>
        <scheme val="minor"/>
      </rPr>
      <t>(b)</t>
    </r>
  </si>
  <si>
    <t>Redução do IVA da electricidade</t>
  </si>
  <si>
    <t>Redução das portagens nas ex-SCUTS</t>
  </si>
  <si>
    <t>(4) Variação do referencial da despesa (2) - (3)</t>
  </si>
  <si>
    <t>(5) Hiato entre a margem e a variação do referencial da despesa (1) - (4)</t>
  </si>
  <si>
    <t>Em percentagem do PIB</t>
  </si>
  <si>
    <t>Memo: Novas medidas sem quantificação oficial não incluídas nos cálculos</t>
  </si>
  <si>
    <t>Revisão das carreiras:</t>
  </si>
  <si>
    <t xml:space="preserve">    Forças de segurança, guardas prisionais e militares</t>
  </si>
  <si>
    <t xml:space="preserve">    Saúde</t>
  </si>
  <si>
    <t xml:space="preserve">    Justiça</t>
  </si>
  <si>
    <t>Plano de emergência da saúde</t>
  </si>
  <si>
    <t>Apoios à habitação</t>
  </si>
  <si>
    <t>(1) Margin for the change of the expenditure benchmark</t>
  </si>
  <si>
    <t>(function of the relevant expenditure and defined with the growth rate of nominal potential GDP)</t>
  </si>
  <si>
    <t>(2) Change in expenditure components</t>
  </si>
  <si>
    <t>Change resulting from the regular dynamics of expenditure and previous commitments</t>
  </si>
  <si>
    <t xml:space="preserve">   Compensation of employees</t>
  </si>
  <si>
    <t xml:space="preserve">   Pensions and other social payments in cash</t>
  </si>
  <si>
    <t xml:space="preserve">   Intermediate consumption and social payments in kind</t>
  </si>
  <si>
    <r>
      <t xml:space="preserve">   Average of investment with national financing</t>
    </r>
    <r>
      <rPr>
        <i/>
        <vertAlign val="superscript"/>
        <sz val="10"/>
        <rFont val="Calibri"/>
        <family val="2"/>
        <scheme val="minor"/>
      </rPr>
      <t>(a)</t>
    </r>
  </si>
  <si>
    <r>
      <t xml:space="preserve">   Other current and capital expenditure</t>
    </r>
    <r>
      <rPr>
        <i/>
        <vertAlign val="superscript"/>
        <sz val="10"/>
        <rFont val="Calibri"/>
        <family val="2"/>
        <scheme val="minor"/>
      </rPr>
      <t>(a)</t>
    </r>
  </si>
  <si>
    <t>New measures with official quantification, outside the Budget, with effects in 2025</t>
  </si>
  <si>
    <r>
      <t>Support for the young</t>
    </r>
    <r>
      <rPr>
        <i/>
        <vertAlign val="superscript"/>
        <sz val="10"/>
        <rFont val="Calibri"/>
        <family val="2"/>
        <scheme val="minor"/>
      </rPr>
      <t>(b)</t>
    </r>
  </si>
  <si>
    <r>
      <t>Career revision: Teachers</t>
    </r>
    <r>
      <rPr>
        <i/>
        <vertAlign val="superscript"/>
        <sz val="10"/>
        <rFont val="Calibri"/>
        <family val="2"/>
        <scheme val="minor"/>
      </rPr>
      <t>(b)</t>
    </r>
  </si>
  <si>
    <t>(3) Discretionary revenue change</t>
  </si>
  <si>
    <t>Budgeted measures in 2024, already implemented, but with effects in 2025</t>
  </si>
  <si>
    <t>Reduction of personal income tax (lagged effect)</t>
  </si>
  <si>
    <t>Corporate income tax: end of tax credits</t>
  </si>
  <si>
    <t>Increase in the tax on oil products (requires a Ministerial Order to update the value)</t>
  </si>
  <si>
    <r>
      <t>Reduction of personal income tax for the young + Exemption from property transfer tax and stamp duty</t>
    </r>
    <r>
      <rPr>
        <i/>
        <vertAlign val="superscript"/>
        <sz val="10"/>
        <rFont val="Calibri"/>
        <family val="2"/>
        <scheme val="minor"/>
      </rPr>
      <t>(b)</t>
    </r>
  </si>
  <si>
    <t>Reduction of VAT on electricity</t>
  </si>
  <si>
    <t>Reduction of tolls on former SCUT roads</t>
  </si>
  <si>
    <t>(4) Change in the expenditure benchmark (2) - (3)</t>
  </si>
  <si>
    <t>(5) Gap between the margin and the change in the expenditure benchmark (1) - (4)</t>
  </si>
  <si>
    <t>In percentage of GDP</t>
  </si>
  <si>
    <t>Career revisions:</t>
  </si>
  <si>
    <t xml:space="preserve">    Security forces, prison guards and military personnel</t>
  </si>
  <si>
    <t xml:space="preserve">    Health</t>
  </si>
  <si>
    <t xml:space="preserve">    Justice</t>
  </si>
  <si>
    <t>Health emergency plan</t>
  </si>
  <si>
    <t>Housing support</t>
  </si>
  <si>
    <r>
      <t>General reduction of personal income tax</t>
    </r>
    <r>
      <rPr>
        <i/>
        <vertAlign val="superscript"/>
        <sz val="10"/>
        <rFont val="Calibri"/>
        <family val="2"/>
        <scheme val="minor"/>
      </rPr>
      <t>(b)</t>
    </r>
  </si>
  <si>
    <t xml:space="preserve">Fonte: Cálculos do Banco de Portugal. | Notas: a) Os empréstimos do PRR não são corrigidos, implicando um aumento dos contributos da outra despesa de capital e do investimento público, embora em menor medida no último caso pelo alisamento com a média de 4 anos. b) Medidas em que poderá observar-se algum impacto orçamental já em 2024. </t>
  </si>
  <si>
    <t xml:space="preserve">Chart C1.3 • Age pyramid of Portuguese population employed in Portugal by maximum schooling attainment | Number of persons at each level of schooling attainment </t>
  </si>
  <si>
    <t>Gráfico C1.3 •  Pirâmide etária da população portuguesa empregada em Portugal, por nível máximo de ensino atingido | Número de indivíduos em cada nível de ensino</t>
  </si>
  <si>
    <t>GI.2.2!A$10</t>
  </si>
  <si>
    <t>GI.2.2!A$11</t>
  </si>
  <si>
    <t>GI.2.3!A$10</t>
  </si>
  <si>
    <t>GI.2.3!A$11</t>
  </si>
  <si>
    <t>GI.2.4!A$10</t>
  </si>
  <si>
    <t>GI.2.4!A$11</t>
  </si>
  <si>
    <t>GI.2.5!A$10</t>
  </si>
  <si>
    <t>GI.2.5!A$11</t>
  </si>
  <si>
    <t>GI.2.6!A$10</t>
  </si>
  <si>
    <t>GI.2.6!A$11</t>
  </si>
  <si>
    <t>GI.2.7!A$10</t>
  </si>
  <si>
    <t>GI.2.7!A$11</t>
  </si>
  <si>
    <t>GI.2.8!A$10</t>
  </si>
  <si>
    <t>GI.2.8!A$11</t>
  </si>
  <si>
    <t>GI.2.9!A$10</t>
  </si>
  <si>
    <t>GI.2.9!A$11</t>
  </si>
  <si>
    <t>GC.5.1!A$10</t>
  </si>
  <si>
    <t>GC.5.1!A$11</t>
  </si>
  <si>
    <t>QC.5.1!A$10</t>
  </si>
  <si>
    <t>QC.5.1!A$11</t>
  </si>
  <si>
    <t>Change in total revenue</t>
  </si>
  <si>
    <t>Impact of legislation changes</t>
  </si>
  <si>
    <t>To be explained (residual/judgement)</t>
  </si>
  <si>
    <t>Fonte: Cálculos do Banco de Portugal.</t>
  </si>
  <si>
    <t>Source: Banco de Portugal calculations.</t>
  </si>
  <si>
    <t>Total impact</t>
  </si>
  <si>
    <t>Impacto total</t>
  </si>
  <si>
    <t>Brackets limits</t>
  </si>
  <si>
    <t>Limites dos escalões</t>
  </si>
  <si>
    <t>Other parameters</t>
  </si>
  <si>
    <t>Outros parâmetros</t>
  </si>
  <si>
    <t>Total após atualização efetiva de parâmetros</t>
  </si>
  <si>
    <t>Rácio da dívida (esc. dir.)</t>
  </si>
  <si>
    <t>(-) Saldo primário</t>
  </si>
  <si>
    <t>Juros</t>
  </si>
  <si>
    <t>Efeito do crescimento nominal</t>
  </si>
  <si>
    <t>Debt ratio (rhs)</t>
  </si>
  <si>
    <t>(-) Primary balance</t>
  </si>
  <si>
    <t>Interest</t>
  </si>
  <si>
    <t>Nominal growth effect</t>
  </si>
  <si>
    <t>Total after actual update of parameters</t>
  </si>
  <si>
    <t>Budget balance</t>
  </si>
  <si>
    <t>Saldo orçamental</t>
  </si>
  <si>
    <t>Baseline scenario</t>
  </si>
  <si>
    <t>Cenário base</t>
  </si>
  <si>
    <t>'Primary balance' shock</t>
  </si>
  <si>
    <t>Choque 'saldo primário'</t>
  </si>
  <si>
    <t>'GDP' shock</t>
  </si>
  <si>
    <t>Choque 'PIB'</t>
  </si>
  <si>
    <t>'Interest rate' shock</t>
  </si>
  <si>
    <t>Choque 'taxa de juro'</t>
  </si>
  <si>
    <t>Implicit interest rate</t>
  </si>
  <si>
    <t>Taxa de juro implícita</t>
  </si>
  <si>
    <t>Output-gap</t>
  </si>
  <si>
    <t>Hiato do produto</t>
  </si>
  <si>
    <t>Public debt</t>
  </si>
  <si>
    <t>Dívida pública</t>
  </si>
  <si>
    <t>Expected revenue without the increase in inflation</t>
  </si>
  <si>
    <r>
      <t xml:space="preserve">% do PIB / </t>
    </r>
    <r>
      <rPr>
        <i/>
        <sz val="9"/>
        <color theme="1"/>
        <rFont val="Calibri"/>
        <family val="2"/>
      </rPr>
      <t>% of GDP</t>
    </r>
  </si>
  <si>
    <t>Fonte: Cálculos do Banco de Portugal. | Nota: Nos cenários choque ‘saldo primário’ e choque ‘taxa de juro’ assume-se que não existe reação do PIB.</t>
  </si>
  <si>
    <t>P05</t>
  </si>
  <si>
    <t>P10</t>
  </si>
  <si>
    <t>P20</t>
  </si>
  <si>
    <t>P40</t>
  </si>
  <si>
    <t>P60</t>
  </si>
  <si>
    <t>P80</t>
  </si>
  <si>
    <t>P90</t>
  </si>
  <si>
    <t>P95</t>
  </si>
  <si>
    <t>Fontes: INE, BCE e cálculos do Banco de Portugal. | Notas: Foi estimado um modelo BVAR com uma prior Independent Normal-Wishart, usando dados trimestrais. A taxa de juro de curto prazo corresponde à Euribor a 3 meses e a de longo prazo à taxa de juro das obrigações soberanas a 10 anos. Foi usado o deflator do PIB no cálculo das taxas de juro reais. A procura externa, hipótese do exercício de projeção deste Boletim, é utilizada como variável exógena. O período de estimação considerado foi 1999T1-2023T4 e as observações referentes ao período da pandemia foram tratadas com recurso a variáveis binárias. Foram incluídos no modelo 2 desfasamentos de cada variável endógena. Para as simulações, a componente cíclica do saldo considera uma semi-elasticidade de 0,54 face ao hiato do produto, este estimado com recurso a um filtro de Hodrick-Prescott para cada PIB simulado. Esta técnica de análise estocástica não capta a probabilidade de ocorrência de eventos extremos. A distribuição do rácio da dívida em 2033 é calculada com base nas simulações estocásticas.</t>
  </si>
  <si>
    <t>Fontes: INE, BCE e cálculos do Banco de Portugal. | Notas: Foi estimado um modelo BVAR com uma prior Independent Normal-Wishart, usando dados trimestrais. A taxa de juro de curto prazo corresponde à Euribor a 3 meses e a de longo prazo à taxa de juro das obrigações soberanas a 10 anos. Foi usado o deflator do PIB no cálculo das taxas de juro reais. A procura externa, hipótese do exercício de projeção deste Boletim, é utilizada como variável exógena. O período de estimação considerado foi 1999T1-2023T4 e as observações referentes ao período da pandemia foram tratadas com recurso a variáveis binárias. Foram incluídos no modelo 2 desfasamentos de cada variável endógena. Para as simulações, a componente cíclica do saldo considera uma semi-elasticidade de 0,54 face ao hiato do produto, este estimado com recurso a um filtro de Hodrick-Prescott para cada PIB simulado. Esta técnica de análise estocástica não capta a probabilidade de ocorrência de eventos extremos.</t>
  </si>
  <si>
    <t>Probabilidade da dívida exceder um rácio x em 2033</t>
  </si>
  <si>
    <t>Observado em 2023</t>
  </si>
  <si>
    <t>Referência das regras orçamentais (60%)</t>
  </si>
  <si>
    <t>Rácio da dívida pública em 2033</t>
  </si>
  <si>
    <t>Debt ratio in 2033</t>
  </si>
  <si>
    <t>Probability of debt exceeding a ratio of x in 2033</t>
  </si>
  <si>
    <t>Observed in 2023</t>
  </si>
  <si>
    <t>Reference for fiscal rules (60%)</t>
  </si>
  <si>
    <t>Sources: Statistics Portugal, ECB and Banco de Portugal calculations. | Notes: A BVAR model was estimated with an Independent Normal-Wishart prior, using quarterly data. The short-term interest rate corresponds to the 3-month Euribor, and the long-term interest rate corresponds to the 10-year sovereign bond yield. The GDP deflator was used in the calculation of real interest rates. External demand, as assumed in the projection exercise of this Bulletin, is used as an exogenous variable. The estimation period considered was from Q1 1999 to Q4 2023, and observations relating to the pandemic period were treated using dummy variables. The model included 2 lags of each endogenous variable. For the simulations, the cyclical component of the balance considers a semi-elasticity of 0.54 with respect to the output gap, which is estimated using a Hodrick-Prescott filter for each simulated GDP. This stochastic analysis technique does not capture the probability of extreme events occurring. The distribution of the debt ratio in 2033 is calculated based on the stochastic simulations.</t>
  </si>
  <si>
    <t xml:space="preserve">Sources: Statistics Portugal, ECB and Banco de Portugal calculations. | Notes: A BVAR model was estimated with an Independent Normal-Wishart prior, using quarterly data. The short-term interest rate corresponds to the 3-month Euribor, and the long-term interest rate corresponds to the 10-year sovereign bond yield. The GDP deflator was used in the calculation of real interest rates. External demand, as assumed in the projection exercise of this Bulletin, is used as an exogenous variable. The estimation period considered was from Q1 1999 to Q4 2023, and observations relating to the pandemic period were treated using dummy variables. The model included 2 lags of each endogenous variable. For the simulations, the cyclical component of the balance considers a semi-elasticity of 0.54 with respect to the output gap, which is estimated using a Hodrick-Prescott filter for each simulated GDP. This stochastic analysis technique does not capture the probability of extreme events occurring. </t>
  </si>
  <si>
    <t>BE Junho 2024</t>
  </si>
  <si>
    <t>Parte II. Tema em Destaque: Caraterização dos trabalhadores estrangeiros por conta de outrem em Portugal / Part II Special Issue: Characterization of foreign employees in Portugal</t>
  </si>
  <si>
    <t>Caixa 1 - Qualificações académicas da população estrangeira empregada em Portugal/Box 1 - Academic qualifications of the foreign population employed in Portugal</t>
  </si>
  <si>
    <t>Gráfico I.1.3 • Taxa de variação do PIB e contributos líquidos de conteúdos importados das componentes | Percentagem e pontos percentuais</t>
  </si>
  <si>
    <t>Chart I.1.3 • GDP rate of change and import-content net contributions of components | Percentage and percentage points</t>
  </si>
  <si>
    <t xml:space="preserve">Sources: Banco de Portugal and Statistics Portugal. | Notes: (p) – projected. The median and interquartile range refer to the 20 countries that make up the euro area. </t>
  </si>
  <si>
    <t xml:space="preserve">Fonte: Eurosistema (exercício de projeção de junho de 2024).  |  Notas: (p) — projetado. A mediana e o intervalo interquartis referem-se aos 20 países que compõem a área do euro. </t>
  </si>
  <si>
    <t>GI.1.7!A$10</t>
  </si>
  <si>
    <t>GI.1.7!A$11</t>
  </si>
  <si>
    <t>2021 T1</t>
  </si>
  <si>
    <t>2021 T2</t>
  </si>
  <si>
    <t>2021 T3</t>
  </si>
  <si>
    <t>2021 T4</t>
  </si>
  <si>
    <t>2022 T1</t>
  </si>
  <si>
    <t>2022 T2</t>
  </si>
  <si>
    <t>2022 T3</t>
  </si>
  <si>
    <t>2022 T4</t>
  </si>
  <si>
    <t>2023 T1</t>
  </si>
  <si>
    <t>2023 T2</t>
  </si>
  <si>
    <t>2023 T3</t>
  </si>
  <si>
    <t>2023 T4</t>
  </si>
  <si>
    <t>Componentes voláteis associadas com o turismo</t>
  </si>
  <si>
    <t>Alto conteúdo importado</t>
  </si>
  <si>
    <t>Baixo conteúdo importado</t>
  </si>
  <si>
    <t>Volatile components associated with tourism</t>
  </si>
  <si>
    <t>High import content</t>
  </si>
  <si>
    <t>Low import content</t>
  </si>
  <si>
    <t xml:space="preserve">Gráfico I.1.7 •  IHPC observado | Taxa de variação homóloga em percentagem e contributos em pontos percentuais </t>
  </si>
  <si>
    <t>Chart I.1.7 • Observed HICP | Rate of change in percentage and contributions in percentage points</t>
  </si>
  <si>
    <t xml:space="preserve">Fontes: Banco de Portugal e INE.  |  Notas: O conteúdo importado inclui o conteúdo direto e indireto do consumo privado em 2017. As rubricas do IHPC de elevado conteúdo importado correspondem às que se caraterizam por um conteúdo importado estimado superior a 20% na despesa de consumo. Para mais pormenores sobre o cálculo do IHPC por nível de conteúdo importado, ver o Boletim Económico de junho de 2022. </t>
  </si>
  <si>
    <t xml:space="preserve">Sources: Banco de Portugal and Statistics Portugal. |  Notes: Import content includes the direct and indirect content of private consumption in 2017. HICP items with a high import content correspond to those with an estimated import content of more than 20% of consumption expenditure. For more details on calculating the HICP by level of import content, see the June 2022 Economic Bulletin. </t>
  </si>
  <si>
    <t>Chart 2 • Public debt in Portugal | Percentage of GDP and million euros</t>
  </si>
  <si>
    <t>Source: Eurostat (Banco de Portugal calculations). | Notes: The concept of public debt used is that of Maastricht, meaning it corresponds to the consolidated gross debt of the general government at face value. The average for the euro area is obtained by summing member states' debts, without deducting loans between countries within the framework of financial assistance programs.</t>
  </si>
  <si>
    <t>Fontes: Eurostat (cálculos do Banco de Portugal). | Notas: O conceito de dívida pública utilizado é o de Maastricht, ou seja, corresponde à dívida bruta das administrações públicas, consolidada e valorizada pelo respetivo valor facial. A média da área do euro é obtida pela soma dos diferentes países, não sendo deduzidos os empréstimos entre países no âmbito dos programas de assistência financeira.</t>
  </si>
  <si>
    <t>Títulos curto prazo</t>
  </si>
  <si>
    <t>Short-term securities</t>
  </si>
  <si>
    <t>Long-term securities</t>
  </si>
  <si>
    <t>Depósitos</t>
  </si>
  <si>
    <t>Deposits</t>
  </si>
  <si>
    <t>Empréstimos curto prazo</t>
  </si>
  <si>
    <t>Short-term loans</t>
  </si>
  <si>
    <t>Empréstimos longo-prazo</t>
  </si>
  <si>
    <t>Long-term loans</t>
  </si>
  <si>
    <t>Títulos longo prazo</t>
  </si>
  <si>
    <t>HICP headline (%)</t>
  </si>
  <si>
    <t>Energy goods (%)</t>
  </si>
  <si>
    <t>Energéticos (%)</t>
  </si>
  <si>
    <t>Caixa 3 - A transmissão do preço dos bens energéticos ao IHPC / Box 3- The pass-through of energy prices to the HICP</t>
  </si>
  <si>
    <t>Notes: Regarding the terms of trade variation clause, see note to chart B2.3.</t>
  </si>
  <si>
    <t>Table B1.1 •  Eurosystem staff projection assumptions</t>
  </si>
  <si>
    <t>Table B3.1 • Contribution to inflation from structural energy price shocks | Percentage points</t>
  </si>
  <si>
    <t>Chart B3.3 • Historical decomposition of inflation and direct and indirect contributes of structural shocks to energy prices | Y-o-y rate of change in percentage and contributions in percentage points</t>
  </si>
  <si>
    <t>Chart B3.2 • Response of inflation and its components to a shock of 1 standard deviation in energy prices | Percentage points</t>
  </si>
  <si>
    <t>Chart B3.1 • HICP headline and HICP of energy goods | Year-on-year change rate in percentage and contributions in percentage points</t>
  </si>
  <si>
    <t>Chart B1.2 • Projection assumptions for the prices of energy and other commodities, and the short-term interest rate</t>
  </si>
  <si>
    <t>Chart B1.1 •   HICP and PMI indicator for the price of inputs in the euro area | Annualized quarter-on-quarter variation rate of 3-month moving average and seasonally adjusted data</t>
  </si>
  <si>
    <t>Gráfico C7.1 Rácio da dívida pública: nível e decomposição da variação | Em percentagem e pontos percentuais do PIB</t>
  </si>
  <si>
    <t>Gráfico C6.3  Impacto da progressividade do IRS na receita| Em milhões de euros</t>
  </si>
  <si>
    <t>Gráfico C6.2 Impacto do aumento da inflação por imposto em 2022-2026 | Em milhões de euros</t>
  </si>
  <si>
    <t>Gráfico C6.1 Decomposição da variação 
da receita fiscal e contributiva em 2022–2026
| Em milhões de euros</t>
  </si>
  <si>
    <t>Quadro C5.1 Referencial da despesa usado nas regras orçamentais em 2025 | Em milhões de euros</t>
  </si>
  <si>
    <t>Gráfico C5.1 Referencial para a despesa pública observado e PIB potencial nominal em Portugal | Taxas de variação em percentagem</t>
  </si>
  <si>
    <t>Chart B7.1 Public debt ratio: level and breakdown of the change | In percentage and percentage points of GDP</t>
  </si>
  <si>
    <t>Chart B6.2 Impact of the increase in inflation by tax 2022-2026 | In million euros</t>
  </si>
  <si>
    <t>Chart B6.1 Breakdown of the change in tax and social contributions revenue in 2022-2026 | Million euros</t>
  </si>
  <si>
    <t>Table B5.1 ·  Expenditure benchmark used in the fiscal rules in 2025 | Million euros</t>
  </si>
  <si>
    <t>Gráfico C7.2 Resultados da análise determinística para as principais variáveis | Em percentagem e percentagem do PIB</t>
  </si>
  <si>
    <t>Chart B7.2 Deterministic analysis results for the main variables | In percentage and percentage of GDP</t>
  </si>
  <si>
    <t>Nota: Sobre a decomposição da variação dos termos de troca ver nota ao gráfico C2.3.</t>
  </si>
  <si>
    <t>Notes: Regarding the terms of trade breakdown, see note to Chart B2.3.</t>
  </si>
  <si>
    <t>Quadro C2.1 •  Contributos dos grupos de produtos para a variação dos termos de troca de bens – 2023 vs. 2015 | Variação acumulada em percentagem e contributos em pp</t>
  </si>
  <si>
    <t>Table B2.1 • Groups of products' contribution to the terms of trade total variation – 2023 vs. 2015 | Cumulative growth as a percentage and contributions in pp</t>
  </si>
  <si>
    <t>Chart B5.1 Expenditure benchmark observed and nominal potential GDP in Portugal | Percentage rates of change</t>
  </si>
  <si>
    <t>Gráfico C7.3 Trajetórias para o rácio da dívida pública de acordo com a análise estocástica | Em percentagem do PIB</t>
  </si>
  <si>
    <t>Chart B7.3 Public debt ratio trajectories based on the stochastic analysis | In percentage of GDP</t>
  </si>
  <si>
    <t xml:space="preserve">Gráfico C7.4 Distribuição do rácio da dívida pública para 2033: probabilidade em exceder um valor | Em percentagem </t>
  </si>
  <si>
    <t>Chart B7.4 Distribution of the public debt ratio for 2033: probability of exceeding a value | In percentage</t>
  </si>
  <si>
    <t>Notes: Regarding the terms of trade breakdown, see note to chart B2.3.</t>
  </si>
  <si>
    <t>Panel A - Total goods</t>
  </si>
  <si>
    <t>Notes: The terms of trade change may be broken down into the sum of contributions of different types of products i in the following way:</t>
  </si>
  <si>
    <r>
      <t>Being yrc</t>
    </r>
    <r>
      <rPr>
        <vertAlign val="superscript"/>
        <sz val="11"/>
        <color theme="1"/>
        <rFont val="Calibri"/>
        <family val="2"/>
        <scheme val="minor"/>
      </rPr>
      <t>X</t>
    </r>
    <r>
      <rPr>
        <vertAlign val="subscript"/>
        <sz val="11"/>
        <color theme="1"/>
        <rFont val="Calibri"/>
        <family val="2"/>
        <scheme val="minor"/>
      </rPr>
      <t>i,t</t>
    </r>
    <r>
      <rPr>
        <sz val="11"/>
        <color theme="1"/>
        <rFont val="Calibri"/>
        <family val="2"/>
        <scheme val="minor"/>
      </rPr>
      <t xml:space="preserve"> and w</t>
    </r>
    <r>
      <rPr>
        <vertAlign val="superscript"/>
        <sz val="11"/>
        <color theme="1"/>
        <rFont val="Calibri"/>
        <family val="2"/>
        <scheme val="minor"/>
      </rPr>
      <t>X</t>
    </r>
    <r>
      <rPr>
        <vertAlign val="subscript"/>
        <sz val="11"/>
        <color theme="1"/>
        <rFont val="Calibri"/>
        <family val="2"/>
        <scheme val="minor"/>
      </rPr>
      <t>i,t</t>
    </r>
    <r>
      <rPr>
        <sz val="11"/>
        <color theme="1"/>
        <rFont val="Calibri"/>
        <family val="2"/>
        <scheme val="minor"/>
      </rPr>
      <t xml:space="preserve"> (yrc</t>
    </r>
    <r>
      <rPr>
        <vertAlign val="superscript"/>
        <sz val="9.35"/>
        <color theme="1"/>
        <rFont val="Calibri"/>
        <family val="2"/>
      </rPr>
      <t>M</t>
    </r>
    <r>
      <rPr>
        <vertAlign val="subscript"/>
        <sz val="11"/>
        <color theme="1"/>
        <rFont val="Calibri"/>
        <family val="2"/>
        <scheme val="minor"/>
      </rPr>
      <t>i,t</t>
    </r>
    <r>
      <rPr>
        <sz val="11"/>
        <color theme="1"/>
        <rFont val="Calibri"/>
        <family val="2"/>
        <scheme val="minor"/>
      </rPr>
      <t xml:space="preserve"> and w</t>
    </r>
    <r>
      <rPr>
        <vertAlign val="superscript"/>
        <sz val="11"/>
        <color theme="1"/>
        <rFont val="Calibri"/>
        <family val="2"/>
        <scheme val="minor"/>
      </rPr>
      <t>M</t>
    </r>
    <r>
      <rPr>
        <vertAlign val="subscript"/>
        <sz val="11"/>
        <color theme="1"/>
        <rFont val="Calibri"/>
        <family val="2"/>
        <scheme val="minor"/>
      </rPr>
      <t>i,t</t>
    </r>
    <r>
      <rPr>
        <sz val="11"/>
        <color theme="1"/>
        <rFont val="Calibri"/>
        <family val="2"/>
        <scheme val="minor"/>
      </rPr>
      <t>) the annual rate of change of prices and the weight in total exports (imports) of each component i in t. The structural effect measures the impact on the terms of trade of the sectoral specialization of the economy. The  relative price effect measures the effect of the different export and import price evolution within each sector. For further details, see Cardoso, F. and Esteves, P. (2008), “Globalisation, Structural Changes in Exports and the Portuguese Terms of Trade”, Economic Bulletin Spring 2008, Banco de Portugal.</t>
    </r>
  </si>
  <si>
    <t>QC.2.1!A$10</t>
  </si>
  <si>
    <t>QC.2.1!A$11</t>
  </si>
  <si>
    <t>Chart 2 • Number of firms with employees by nationality | Thousands of firms</t>
  </si>
  <si>
    <t>Gráfico 2 • Número de empresas com trabalhadores por nacionalidade| Milhares de empresas</t>
  </si>
  <si>
    <t>Quadro 1 • Número de trabalhadores com nacionalidade estrangeira e respetivo peso por dimensão da empresa em 2023 | Número de indivíduos e peso em percentagem</t>
  </si>
  <si>
    <t>Table 1 • Number of employees with foreign nationality and respective weight by firm size in 2023 | Number of individuals and weight in percentage</t>
  </si>
  <si>
    <t>Chart 5 • Share of women in the total number of employees by nationality in 2023 | Percentage</t>
  </si>
  <si>
    <t>Chart 6 • Distribution of employees with foreign nationality by firm's headquarter municipality in 2023 | Number of individuals (panel A) and share of foreigners in the total number of employees per municipality (panel B)</t>
  </si>
  <si>
    <t>Chart 8 • Share of employees with foreign nationality in the total number of employees by activity sector | Percentage</t>
  </si>
  <si>
    <t>Source: Banco de Portugal. | Note: The ‘Post-Budget2024’ component refers to recently adopted measures, including the abolition of tolls on former SCUT roads and changes to the solidaritysupplement for the elderly.</t>
  </si>
  <si>
    <t xml:space="preserve">Sources: European Commission and Banco de Portugal calculations. | Notes: The expenditure benchmark is defined as primary expenditure net of discretionary revenue measures, expenditure programmes financed by European funds, the cyclical component of unemployment benefits, and temporary measures, classified according to the definition of the European Commission. Nationally financed public investment is smoothed with a four-year average: the current year and the three previous years. Nominal potential GDP is calculated by the European Commission.
</t>
  </si>
  <si>
    <r>
      <t>Expansion of the solidarity supplement for the elderly</t>
    </r>
    <r>
      <rPr>
        <i/>
        <vertAlign val="superscript"/>
        <sz val="10"/>
        <rFont val="Calibri"/>
        <family val="2"/>
        <scheme val="minor"/>
      </rPr>
      <t>(b)</t>
    </r>
  </si>
  <si>
    <t>Memo: New measures without official quantification, not included in the calculations</t>
  </si>
  <si>
    <t>Source: Banco de Portugal calculations. | Notes: The loans from the Recovery and Resilience Plan (RRP) are not corrected, implying an increase in contributions from other capital expenditure and public investment, albeit to a lesser extent in the latter case due to smoothing with a 4-year average. (b) Measures where some budgetary impact may be observed as early as 2024.</t>
  </si>
  <si>
    <t>Chart B6.3 Impact of personal income tax progressivity on revenue | Million euros</t>
  </si>
  <si>
    <t>Fonte: Cálculos do Banco de Portugal baseados em simulações do EUROMOD e nos dados do EU-SILC. | Nota: Em 2022, não se apresenta o impacto
após a atualização efetiva de parâmetros, dado que as alterações aos limites dos escalões decorreram essencialmente da reestruturação da tabela, com
a introdução de novos escalões. O impacto da progressividade foi calculado usando o sistema de impostos e benefícios de 2022 para Portugal, usando
o modelo EUROMOD, disponível em https://euromod-web.jrc.ec.europa.eu/. Para mais detalhes relativos à modelização do IRS para Portugal ver
EUROMOD Country report — Portugal 2020–2023.</t>
  </si>
  <si>
    <t>Budgeted measures in 2024, not implemented, with potential effects in 2025</t>
  </si>
  <si>
    <t>Source: Banco de Portugal calculations based on EUROMOD simulations and EU-SILC data. | Note: In 2022, the impact after the actual update of parameters is not shown given that the changes in bracket limits were mainly driven by a restructuring of the PIT table, with the introduction of new brackets. The impact of tax progressivity was calculated using the EUROMOD tax and benefit system for Portugal in 2022 available in https://euromod-web.jrc.ec.europa.eu/. For more details regarding PIT modelling in EUROMOD for Portugal see EUROMOD Country report — Portugal 2020–2023.</t>
  </si>
  <si>
    <t>Source: Banco de Portugal calculations. | Note: In the 'primary balance' and 'interest rate' shock scenarios, it is assumed that there is no reaction of GDP.</t>
  </si>
  <si>
    <t>Gráfico 6 • Distribuição dos trabalhadores com nacionalidade estrangeira por concelho da sede da empresa em 2023 | Número de indivíduos (painel A) e peso dos estrangeiros no número total de trabalhadores por concelho (painel B)</t>
  </si>
  <si>
    <t xml:space="preserve">Fonte: Microdados da Segurança Social (cálculos do Banco de Portugal). | Nota: Foram considerados os trabalhadores por conta de outrem, em idade ativa (16-74 anos), com morada em Portugal e com, pelo menos, o equivalente a um dia de remuneração na empresa em cada mês.   </t>
  </si>
  <si>
    <t>Source: Social Security microdata (Banco de Portugal calculations). | Note: Employees of working age (16-74 years old), living in Portugal and with, at least, the equivalent of a day of remuneration at the firm each month were considered.</t>
  </si>
  <si>
    <t>Fonte: Microdados da Segurança Social (cálculos do Banco de Portugal).  | Notas: Foram consideradas as empresas com trabalhadores por conta de outrem, em idade ativa (16-74 anos) e com, pelo menos, o equivalente a um dia de remuneração na empresa em cada mês. Médias mensais.</t>
  </si>
  <si>
    <t>Source: Social Security microdata (Banco de Portugal calculations). | Notes: Firms with employees of working age (16-74 years) and with, at least, the equivalent of a day of remuneration at the firm each month were considered. Monthly averages.</t>
  </si>
  <si>
    <t xml:space="preserve">Fonte: Microdados da Segurança Social (cálculos do Banco de Portugal). | Notas: A dimensão da empresa foi calculada com base no número de trabalhadores por conta de outrem, em idade ativa (16-74 anos) e com, pelo menos, o equivalente a um dia de remuneração na empresa em cada mês em 2023. O peso é face ao número médio de trabalhadores nacionais e estrangeiros por dimensão da empresa em cada mês em 2023. De notar que a soma do número de trabalhadores por dimensão é superior ao apresentado no Gráfico 1, uma vez que o mesmo trabalhador pode trabalhar em diferentes empresas, com diferentes dimensões, em cada mês. </t>
  </si>
  <si>
    <t>Fonte: Microdados da Segurança Social (cálculos do Banco de Portugal). | Notas: Foram considerados os trabalhadores por conta de outrem, em idade ativa (16-74 anos), com morada em Portugal e com, pelo menos, o equivalente a um dia de remuneração na empresa em cada mês. As principais nacionalidades representadas correspondem aos cinco países com maior número de indivíduos a trabalhar em Portugal em 2023.</t>
  </si>
  <si>
    <t>Source: Social Security microdata (Banco de Portugal calculations). | Notes: Employees of working age (16-74 years old), living in Portugal and with, at least, the equivalent of a day of remuneration at the firm each month were considered. The main nationalities represented correspond to the five countries with the highest number of individuals working in Portugal in 2023.</t>
  </si>
  <si>
    <t>Fonte: Microdados da Segurança Social (cálculos do Banco de Portugal). | Notas: Foram considerados os trabalhadores por conta de outrem com, pelo menos, o equivalente a um dia de remuneração na empresa em cada mês. As principais nacionalidades representadas correspondem aos cinco países com maior número de indivíduos a trabalhar em Portugal em 2023.</t>
  </si>
  <si>
    <t>Source: Social Security microdata (Banco de Portugal calculations). | Notes: Employees with at least the equivalent of a day of remuneration at the firm each month were considered. The main nationalities represented correspond to the five countries with the highest number of individuals working in Portugal in 2023.</t>
  </si>
  <si>
    <t>Fonte: Microdados da Segurança Social (cálculos do Banco de Portugal). | Nota: Foram considerados os trabalhadores por conta de outrem, em idade ativa (16-74 anos) e com, pelo menos, o equivalente a um dia de remuneração na empresa em cada mês.</t>
  </si>
  <si>
    <t xml:space="preserve">Source: Social Security microdata (Banco de Portugal calculations). | Note: Employees of working age (16-74 years) and with, at least, the equivalent of a day of remuneration at the firm each month were considered. </t>
  </si>
  <si>
    <r>
      <t xml:space="preserve">Peso/ </t>
    </r>
    <r>
      <rPr>
        <i/>
        <sz val="10"/>
        <color theme="1"/>
        <rFont val="Calibri"/>
        <family val="2"/>
        <scheme val="minor"/>
      </rPr>
      <t>Share</t>
    </r>
    <r>
      <rPr>
        <sz val="10"/>
        <color theme="1"/>
        <rFont val="Calibri"/>
        <family val="2"/>
        <scheme val="minor"/>
      </rPr>
      <t xml:space="preserve"> (%)</t>
    </r>
  </si>
  <si>
    <t xml:space="preserve">Fonte: Microdados da Segurança Social (cálculos do Banco de Portugal). Nota: foram considerados os trabalhadores por conta de outrem, em idade ativa (16-74 anos), com morada em Portugal e com, pelo menos, o equivalente a um dia de remuneração na empresa em cada mês. </t>
  </si>
  <si>
    <t>Source: Social Security microdata (Banco de Portugal calculations). Note: Employees of working age (16-74 years old), living in Portugal and with, at least, the equivalent of a day of remuneration at the firm each month were considered.</t>
  </si>
  <si>
    <t>Fonte: Microdados da Segurança Social (cálculos do Banco de Portugal). | Notas: Foram considerados os trabalhadores por conta de outrem, em idade ativa (16-74 anos) e com, pelo menos, o equivalente a um dia de remuneração na empresa em cada mês. Os pesos foram calculados com base nos dias de remuneração dos trabalhadores com nacionalidade estrangeira no número total de dias de remuneração por setor. O cálculo destes pesos com base no número de trabalhadores mantém os resultados qualitativamente inalterados.</t>
  </si>
  <si>
    <t>Source: Social Security microdata (Banco de Portugal calculations). | Notes: Employees of working age (16-74 years) and with, at least, the equivalent of a day of remuneration at the firm each month were considered. The shares were calculated based on the days of remuneration for employees with foreign nationality in the total number of days of remuneration per sector. Calculating these weights based on the number of employees keeps the results qualitatively unchanged.</t>
  </si>
  <si>
    <t>Fonte: Microdados da Segurança Social (cálculos do Banco de Portugal). | Notas: Foram considerados os trabalhadores por conta de outrem, em idade ativa (16-74 anos) e com, pelo menos, o equivalente a um dia de remuneração na empresa em cada mês. As principais nacionalidades representadas correspondem aos cinco países com maior número de indivíduos a trabalhar em Portugal em 2023. Os setores encontram-se ordenados por ordem decrescente do peso dos trabalhadores com nacionalidade estrangeira no total de trabalhadores por setor de atividade.</t>
  </si>
  <si>
    <t xml:space="preserve">Fonte: Microdados da Segurança Social (cálculos do Banco de Portugal). | Notas: Foram considerados os trabalhadores por conta de outrem, em idade ativa (16-74 anos) e com, pelo menos, o equivalente a um dia de remuneração na empresa em cada mês. As remunerações apresentadas correspondem a remunerações equivalentes a um mês completo, ou seja, foram obtidas através da divisão da remuneração pelo número de dias declarado e multiplicadas por 30 (número de dias correspondente a um mês de trabalho a tempo completo). As remunerações regulares incluem a remuneração base, o subsídio de refeição, os subsídios de caráter regular mensal e prémios, bónus e outras prestações de caráter mensal. Os extremos inferior e superior representados nos diagramas representam, respetivamente, a média do percentil 10 e do percentil 90 das respetivas distribuições.  </t>
  </si>
  <si>
    <t>Source: Social Security microdata (Banco de Portugal calculations). | Notes: Employees of working age (16-74 years) and with, at least, the equivalent of a day of remuneration at the firm each month were considered. The remuneration presented corresponds to remuneration equivalent to a full month, that is, it was obtained by dividing the remuneration by the declared number of days and multiplied by 30 (number of days corresponding to a month of full-time work). Regular remuneration includes base remuneration, meal allowance, regular monthly allowances, and bonuses and other monthly payments. The lower and upper bounds in the diagrams represent, respectively, the average of the 10th percentile and the 90th percentile of the respective distributions.</t>
  </si>
  <si>
    <t>Source: Social Security microdata (Banco de Portugal calculations). | Notes: employees with at least the equivalent of a day of remuneration at the firm each month were considered. The lower and upper extremes represented in the diagrams represent, respectively, the average of the 10th percentile and the 90th percentile of the respective distributions. The main nationalities represented in panel B correspond to the five countries with the highest number of individuals working in Portugal in 2023.</t>
  </si>
  <si>
    <t>Fonte: Microdados da Segurança Social (cálculos do Banco de Portugal). | Notas: Foram considerados os trabalhadores por conta de outrem com, pelo menos, o equivalente a um dia de remuneração na empresa em cada mês. Os extremos inferior e superior representados nos diagramas representam, respetivamente, a média do percentil 10 e do percentil 90 das respetivas distribuições.  As principais nacionalidades representadas no painel B correspondem aos cinco países com maior número de indivíduos a trabalhar em Portugal em 2023.</t>
  </si>
  <si>
    <t>Share</t>
  </si>
  <si>
    <t>Fonte: Microdados da Segurança Social (cálculos do Banco de Portugal). | Notas: Foram considerados os trabalhadores por conta de outrem, em idade ativa (16-74 anos) e com, pelo menos, o equivalente a um dia de remuneração na empresa em cada mês. As remunerações apresentadas correspondem a remunerações equivalentes a um mês completo, ou seja, foram obtidas através da divisão da remuneração pelo número de dias declarado e multiplicadas por 30 (número de dias correspondente a um mês de trabalho a tempo completo). As remunerações regulares incluem a remuneração base, o subsídio de refeição, os subsídios de caráter regular mensal e prémios, bónus e outras prestações de caráter mensal. Os setores encontram-se ordenados por ordem decrescente do número de trabalhadores com nacionalidade estrangeira por setor de atividade.</t>
  </si>
  <si>
    <t>Fonte: INE - Censos 2021 (cálculos do Banco de Portugal). | Nota: Os países identificados encontram-se ordenados pelo número decrescente dos trabalhadores em Portugal da respetiva nacionalidade.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</si>
</sst>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__"/>
    <numFmt numFmtId="165" formatCode="0.0"/>
    <numFmt numFmtId="166" formatCode="dd\-mm\-yyyy;@"/>
    <numFmt numFmtId="167" formatCode="[$-816]mmm/yy;@"/>
    <numFmt numFmtId="168" formatCode="[$-409]mmm/yy;@"/>
    <numFmt numFmtId="169" formatCode="0.0____"/>
    <numFmt numFmtId="170" formatCode="#,##0.0"/>
  </numFmts>
  <fonts count="61" x14ac:knownFonts="1">
    <font>
      <sz val="11"/>
      <color theme="1"/>
      <name val="Calibri"/>
      <family val="2"/>
      <scheme val="minor"/>
    </font>
    <font>
      <sz val="11"/>
      <color theme="1"/>
      <name val="Calibri"/>
      <family val="2"/>
    </font>
    <font>
      <sz val="11"/>
      <color theme="1"/>
      <name val="Calibri"/>
      <family val="2"/>
      <scheme val="minor"/>
    </font>
    <font>
      <b/>
      <sz val="11"/>
      <name val="Calibri"/>
      <family val="2"/>
      <scheme val="minor"/>
    </font>
    <font>
      <b/>
      <sz val="11"/>
      <color theme="4"/>
      <name val="Calibri"/>
      <family val="2"/>
      <scheme val="minor"/>
    </font>
    <font>
      <b/>
      <sz val="11"/>
      <color theme="4" tint="-0.499984740745262"/>
      <name val="Calibri"/>
      <family val="2"/>
      <scheme val="minor"/>
    </font>
    <font>
      <sz val="10"/>
      <name val="Arial"/>
      <family val="2"/>
    </font>
    <font>
      <sz val="14"/>
      <color theme="1"/>
      <name val="Calibri"/>
      <family val="2"/>
      <scheme val="minor"/>
    </font>
    <font>
      <i/>
      <sz val="14"/>
      <color theme="1"/>
      <name val="Calibri"/>
      <family val="2"/>
      <scheme val="minor"/>
    </font>
    <font>
      <u/>
      <sz val="11"/>
      <color theme="10"/>
      <name val="Calibri"/>
      <family val="2"/>
    </font>
    <font>
      <b/>
      <sz val="14"/>
      <name val="Calibri"/>
      <family val="2"/>
      <scheme val="minor"/>
    </font>
    <font>
      <i/>
      <sz val="11"/>
      <color theme="1"/>
      <name val="Calibri"/>
      <family val="2"/>
      <scheme val="minor"/>
    </font>
    <font>
      <sz val="9"/>
      <color theme="1"/>
      <name val="Calibri"/>
      <family val="2"/>
      <scheme val="minor"/>
    </font>
    <font>
      <i/>
      <sz val="11"/>
      <color rgb="FF000000"/>
      <name val="Calibri"/>
      <family val="2"/>
    </font>
    <font>
      <vertAlign val="superscript"/>
      <sz val="11"/>
      <color theme="1"/>
      <name val="Calibri"/>
      <family val="2"/>
      <scheme val="minor"/>
    </font>
    <font>
      <sz val="12"/>
      <name val="Calibri"/>
      <family val="2"/>
      <scheme val="minor"/>
    </font>
    <font>
      <sz val="10"/>
      <color theme="1"/>
      <name val="Calibri"/>
      <family val="2"/>
    </font>
    <font>
      <i/>
      <sz val="11"/>
      <color theme="1"/>
      <name val="Calibri"/>
      <family val="2"/>
    </font>
    <font>
      <sz val="10"/>
      <name val="Calibri"/>
      <family val="2"/>
      <scheme val="minor"/>
    </font>
    <font>
      <sz val="11"/>
      <name val="Calibri"/>
      <family val="2"/>
      <scheme val="minor"/>
    </font>
    <font>
      <i/>
      <sz val="11"/>
      <name val="Calibri"/>
      <family val="2"/>
      <scheme val="minor"/>
    </font>
    <font>
      <b/>
      <sz val="10"/>
      <color theme="1"/>
      <name val="Calibri"/>
      <family val="2"/>
      <scheme val="minor"/>
    </font>
    <font>
      <i/>
      <sz val="9"/>
      <color theme="1"/>
      <name val="Calibri"/>
      <family val="2"/>
      <scheme val="minor"/>
    </font>
    <font>
      <u/>
      <sz val="11"/>
      <color theme="10"/>
      <name val="Calibri"/>
      <family val="2"/>
      <scheme val="minor"/>
    </font>
    <font>
      <b/>
      <sz val="11"/>
      <color theme="1"/>
      <name val="Calibri"/>
      <family val="2"/>
      <scheme val="minor"/>
    </font>
    <font>
      <sz val="11"/>
      <name val="Arial"/>
      <family val="2"/>
    </font>
    <font>
      <sz val="11"/>
      <name val="Calibri"/>
      <family val="2"/>
    </font>
    <font>
      <sz val="10"/>
      <color theme="1"/>
      <name val="Calibri"/>
      <family val="2"/>
      <scheme val="minor"/>
    </font>
    <font>
      <sz val="8"/>
      <name val="Calibri"/>
      <family val="2"/>
      <scheme val="minor"/>
    </font>
    <font>
      <i/>
      <sz val="10"/>
      <name val="Calibri"/>
      <family val="2"/>
      <scheme val="minor"/>
    </font>
    <font>
      <i/>
      <sz val="11"/>
      <name val="Calibri"/>
      <family val="2"/>
    </font>
    <font>
      <sz val="11"/>
      <color rgb="FF000000"/>
      <name val="Calibri"/>
      <family val="2"/>
    </font>
    <font>
      <i/>
      <sz val="11"/>
      <color rgb="FF000000"/>
      <name val="Calibri"/>
      <family val="2"/>
      <scheme val="minor"/>
    </font>
    <font>
      <sz val="11"/>
      <color rgb="FF000000"/>
      <name val="Calibri"/>
      <family val="2"/>
      <scheme val="minor"/>
    </font>
    <font>
      <sz val="9.5"/>
      <color rgb="FF000000"/>
      <name val="Times New Roman"/>
      <family val="1"/>
    </font>
    <font>
      <sz val="10"/>
      <color indexed="8"/>
      <name val="Arial"/>
      <family val="2"/>
    </font>
    <font>
      <sz val="11"/>
      <color indexed="8"/>
      <name val="Calibri"/>
      <family val="2"/>
    </font>
    <font>
      <i/>
      <sz val="10"/>
      <color theme="1"/>
      <name val="Calibri"/>
      <family val="2"/>
    </font>
    <font>
      <i/>
      <sz val="10"/>
      <color theme="1"/>
      <name val="Calibri"/>
      <family val="2"/>
      <scheme val="minor"/>
    </font>
    <font>
      <b/>
      <i/>
      <sz val="11"/>
      <color theme="1"/>
      <name val="Calibri"/>
      <family val="2"/>
      <scheme val="minor"/>
    </font>
    <font>
      <i/>
      <sz val="8"/>
      <color theme="1"/>
      <name val="Calibri"/>
      <family val="2"/>
      <scheme val="minor"/>
    </font>
    <font>
      <sz val="9"/>
      <name val="Calibri"/>
      <family val="2"/>
      <scheme val="minor"/>
    </font>
    <font>
      <i/>
      <sz val="9"/>
      <name val="Calibri"/>
      <family val="2"/>
      <scheme val="minor"/>
    </font>
    <font>
      <b/>
      <sz val="9"/>
      <color theme="1"/>
      <name val="Calibri"/>
      <family val="2"/>
      <scheme val="minor"/>
    </font>
    <font>
      <sz val="10"/>
      <name val="Calibri"/>
      <family val="2"/>
    </font>
    <font>
      <sz val="9"/>
      <name val="Calibri"/>
      <family val="2"/>
    </font>
    <font>
      <i/>
      <sz val="10"/>
      <name val="Calibri"/>
      <family val="2"/>
    </font>
    <font>
      <sz val="12"/>
      <name val="Calibri"/>
      <family val="2"/>
    </font>
    <font>
      <i/>
      <sz val="9"/>
      <name val="Calibri"/>
      <family val="2"/>
    </font>
    <font>
      <i/>
      <sz val="12"/>
      <name val="Calibri"/>
      <family val="2"/>
    </font>
    <font>
      <vertAlign val="subscript"/>
      <sz val="11"/>
      <color theme="1"/>
      <name val="Calibri"/>
      <family val="2"/>
      <scheme val="minor"/>
    </font>
    <font>
      <vertAlign val="superscript"/>
      <sz val="9.35"/>
      <color theme="1"/>
      <name val="Calibri"/>
      <family val="2"/>
    </font>
    <font>
      <i/>
      <sz val="10"/>
      <name val="Arial"/>
      <family val="2"/>
    </font>
    <font>
      <sz val="24"/>
      <color rgb="FF212529"/>
      <name val="Open Sans"/>
      <family val="2"/>
    </font>
    <font>
      <b/>
      <i/>
      <sz val="10"/>
      <color theme="1"/>
      <name val="Calibri"/>
      <family val="2"/>
      <scheme val="minor"/>
    </font>
    <font>
      <sz val="8"/>
      <color theme="1"/>
      <name val="Calibri"/>
      <family val="2"/>
      <scheme val="minor"/>
    </font>
    <font>
      <b/>
      <sz val="10"/>
      <name val="Calibri"/>
      <family val="2"/>
      <scheme val="minor"/>
    </font>
    <font>
      <vertAlign val="superscript"/>
      <sz val="10"/>
      <name val="Calibri"/>
      <family val="2"/>
      <scheme val="minor"/>
    </font>
    <font>
      <b/>
      <i/>
      <sz val="10"/>
      <name val="Calibri"/>
      <family val="2"/>
      <scheme val="minor"/>
    </font>
    <font>
      <i/>
      <vertAlign val="superscript"/>
      <sz val="10"/>
      <name val="Calibri"/>
      <family val="2"/>
      <scheme val="minor"/>
    </font>
    <font>
      <i/>
      <sz val="9"/>
      <color theme="1"/>
      <name val="Calibri"/>
      <family val="2"/>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auto="1"/>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auto="1"/>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s>
  <cellStyleXfs count="13">
    <xf numFmtId="0" fontId="0" fillId="0" borderId="0"/>
    <xf numFmtId="0" fontId="6" fillId="0" borderId="0"/>
    <xf numFmtId="0" fontId="9" fillId="0" borderId="0" applyNumberFormat="0" applyFill="0" applyBorder="0" applyAlignment="0" applyProtection="0">
      <alignment vertical="top"/>
      <protection locked="0"/>
    </xf>
    <xf numFmtId="0" fontId="23" fillId="0" borderId="0" applyNumberFormat="0" applyFill="0" applyBorder="0" applyAlignment="0" applyProtection="0"/>
    <xf numFmtId="0" fontId="9" fillId="0" borderId="0" applyNumberFormat="0" applyFill="0" applyBorder="0" applyAlignment="0" applyProtection="0">
      <alignment vertical="top"/>
      <protection locked="0"/>
    </xf>
    <xf numFmtId="0" fontId="25" fillId="0" borderId="0"/>
    <xf numFmtId="0" fontId="26" fillId="0" borderId="0"/>
    <xf numFmtId="0" fontId="26" fillId="0" borderId="0"/>
    <xf numFmtId="0" fontId="35" fillId="0" borderId="0"/>
    <xf numFmtId="0" fontId="26" fillId="0" borderId="0"/>
    <xf numFmtId="0" fontId="6" fillId="0" borderId="0"/>
    <xf numFmtId="0" fontId="6" fillId="0" borderId="0"/>
    <xf numFmtId="0" fontId="2" fillId="0" borderId="0"/>
  </cellStyleXfs>
  <cellXfs count="467">
    <xf numFmtId="0" fontId="0" fillId="0" borderId="0" xfId="0"/>
    <xf numFmtId="0" fontId="3" fillId="2" borderId="0" xfId="0" applyFont="1" applyFill="1" applyAlignment="1" applyProtection="1">
      <alignment horizontal="left" vertical="center"/>
      <protection locked="0"/>
    </xf>
    <xf numFmtId="0" fontId="2" fillId="2" borderId="0" xfId="0" applyFont="1" applyFill="1"/>
    <xf numFmtId="0" fontId="5" fillId="2" borderId="0" xfId="0" applyFont="1" applyFill="1" applyAlignment="1" applyProtection="1">
      <alignment horizontal="left" vertical="center" wrapText="1"/>
      <protection locked="0"/>
    </xf>
    <xf numFmtId="0" fontId="9" fillId="2" borderId="0" xfId="2" applyFill="1" applyAlignment="1" applyProtection="1"/>
    <xf numFmtId="0" fontId="2" fillId="2" borderId="0" xfId="1" applyFont="1" applyFill="1"/>
    <xf numFmtId="0" fontId="10"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0" fontId="11" fillId="0" borderId="0" xfId="0" applyFont="1"/>
    <xf numFmtId="0" fontId="12" fillId="0" borderId="0" xfId="0" applyFont="1" applyAlignment="1">
      <alignment vertical="center" wrapText="1"/>
    </xf>
    <xf numFmtId="0" fontId="9" fillId="0" borderId="0" xfId="2" applyFill="1" applyAlignment="1" applyProtection="1">
      <alignment vertical="center"/>
    </xf>
    <xf numFmtId="0" fontId="2" fillId="0" borderId="0" xfId="1" applyFont="1"/>
    <xf numFmtId="0" fontId="13" fillId="0" borderId="0" xfId="1" applyFont="1"/>
    <xf numFmtId="0" fontId="13" fillId="0" borderId="0" xfId="1" applyFont="1" applyAlignment="1">
      <alignment horizontal="left"/>
    </xf>
    <xf numFmtId="0" fontId="0" fillId="0" borderId="0" xfId="1" applyFont="1"/>
    <xf numFmtId="0" fontId="2" fillId="0" borderId="0" xfId="1" applyFont="1" applyAlignment="1">
      <alignment horizontal="left"/>
    </xf>
    <xf numFmtId="165" fontId="0" fillId="0" borderId="0" xfId="0" applyNumberFormat="1"/>
    <xf numFmtId="0" fontId="16" fillId="0" borderId="0" xfId="0" applyFont="1" applyAlignment="1">
      <alignment horizontal="right"/>
    </xf>
    <xf numFmtId="0" fontId="17" fillId="0" borderId="0" xfId="0" applyFont="1" applyAlignment="1">
      <alignment horizontal="right"/>
    </xf>
    <xf numFmtId="0" fontId="18" fillId="0" borderId="0" xfId="0" applyFont="1" applyAlignment="1" applyProtection="1">
      <alignment vertical="center"/>
      <protection locked="0"/>
    </xf>
    <xf numFmtId="0" fontId="11" fillId="0" borderId="0" xfId="0" applyFont="1" applyAlignment="1">
      <alignment horizontal="left"/>
    </xf>
    <xf numFmtId="0" fontId="19" fillId="0" borderId="0" xfId="1" applyFont="1" applyAlignment="1">
      <alignment horizontal="left" indent="2"/>
    </xf>
    <xf numFmtId="165" fontId="19" fillId="0" borderId="0" xfId="0" applyNumberFormat="1" applyFont="1"/>
    <xf numFmtId="0" fontId="19" fillId="0" borderId="0" xfId="1" applyFont="1" applyAlignment="1">
      <alignment horizontal="left"/>
    </xf>
    <xf numFmtId="0" fontId="20" fillId="0" borderId="0" xfId="1" applyFont="1" applyAlignment="1">
      <alignment horizontal="left"/>
    </xf>
    <xf numFmtId="166" fontId="21" fillId="0" borderId="0" xfId="0" applyNumberFormat="1" applyFont="1"/>
    <xf numFmtId="0" fontId="0" fillId="0" borderId="0" xfId="0" applyAlignment="1">
      <alignment horizontal="left" indent="1"/>
    </xf>
    <xf numFmtId="2" fontId="18" fillId="0" borderId="0" xfId="0" applyNumberFormat="1" applyFont="1" applyAlignment="1" applyProtection="1">
      <alignment vertical="center"/>
      <protection locked="0"/>
    </xf>
    <xf numFmtId="0" fontId="12" fillId="0" borderId="0" xfId="0" applyFont="1"/>
    <xf numFmtId="0" fontId="22" fillId="0" borderId="0" xfId="0" applyFont="1"/>
    <xf numFmtId="165" fontId="18" fillId="0" borderId="0" xfId="0" applyNumberFormat="1" applyFont="1" applyAlignment="1" applyProtection="1">
      <alignment vertical="center"/>
      <protection locked="0"/>
    </xf>
    <xf numFmtId="0" fontId="1" fillId="0" borderId="0" xfId="0" applyFont="1" applyAlignment="1">
      <alignment horizontal="right"/>
    </xf>
    <xf numFmtId="164" fontId="15" fillId="0" borderId="0" xfId="1" applyNumberFormat="1" applyFont="1" applyAlignment="1">
      <alignment horizontal="right"/>
    </xf>
    <xf numFmtId="0" fontId="0" fillId="0" borderId="0" xfId="0" applyAlignment="1">
      <alignment horizontal="left"/>
    </xf>
    <xf numFmtId="0" fontId="0" fillId="0" borderId="0" xfId="0" applyAlignment="1">
      <alignment wrapText="1"/>
    </xf>
    <xf numFmtId="0" fontId="0" fillId="0" borderId="0" xfId="0" applyAlignment="1">
      <alignment horizontal="center" vertical="center" wrapText="1"/>
    </xf>
    <xf numFmtId="0" fontId="16" fillId="0" borderId="0" xfId="0" applyFont="1" applyAlignment="1">
      <alignment horizontal="right" wrapText="1"/>
    </xf>
    <xf numFmtId="167" fontId="0" fillId="0" borderId="0" xfId="0" applyNumberFormat="1" applyAlignment="1">
      <alignment horizontal="right"/>
    </xf>
    <xf numFmtId="168" fontId="0" fillId="0" borderId="0" xfId="0" applyNumberFormat="1" applyAlignment="1">
      <alignment horizontal="right"/>
    </xf>
    <xf numFmtId="0" fontId="23" fillId="0" borderId="0" xfId="3" applyFill="1" applyAlignment="1" applyProtection="1">
      <alignment vertical="center"/>
    </xf>
    <xf numFmtId="0" fontId="19" fillId="0" borderId="0" xfId="0" applyFont="1" applyAlignment="1" applyProtection="1">
      <alignment vertical="center"/>
      <protection locked="0"/>
    </xf>
    <xf numFmtId="0" fontId="20" fillId="0" borderId="0" xfId="0" applyFont="1" applyAlignment="1" applyProtection="1">
      <alignment vertical="center"/>
      <protection locked="0"/>
    </xf>
    <xf numFmtId="0" fontId="0" fillId="0" borderId="0" xfId="0" applyAlignment="1">
      <alignment vertical="center"/>
    </xf>
    <xf numFmtId="0" fontId="0" fillId="0" borderId="0" xfId="0" applyAlignment="1">
      <alignment horizontal="right"/>
    </xf>
    <xf numFmtId="0" fontId="11" fillId="0" borderId="0" xfId="0" applyFont="1" applyAlignment="1">
      <alignment horizontal="right"/>
    </xf>
    <xf numFmtId="3" fontId="0" fillId="0" borderId="0" xfId="0" applyNumberFormat="1"/>
    <xf numFmtId="0" fontId="0" fillId="0" borderId="0" xfId="0" applyAlignment="1"/>
    <xf numFmtId="0" fontId="11" fillId="0" borderId="0" xfId="0" applyFont="1" applyAlignment="1">
      <alignment wrapText="1"/>
    </xf>
    <xf numFmtId="0" fontId="12" fillId="0" borderId="0" xfId="0" applyFont="1" applyAlignment="1">
      <alignment vertical="center"/>
    </xf>
    <xf numFmtId="0" fontId="9" fillId="0" borderId="0" xfId="4" applyFill="1" applyAlignment="1" applyProtection="1">
      <alignment vertical="center"/>
    </xf>
    <xf numFmtId="0" fontId="16" fillId="0" borderId="0" xfId="0" applyFont="1" applyAlignment="1">
      <alignment horizontal="center"/>
    </xf>
    <xf numFmtId="165" fontId="0" fillId="0" borderId="0" xfId="0" applyNumberFormat="1" applyAlignment="1">
      <alignment horizontal="center" vertical="center"/>
    </xf>
    <xf numFmtId="165" fontId="1" fillId="0" borderId="0" xfId="0" applyNumberFormat="1" applyFont="1" applyAlignment="1">
      <alignment horizontal="center"/>
    </xf>
    <xf numFmtId="165" fontId="0" fillId="0" borderId="0" xfId="0" applyNumberFormat="1" applyAlignment="1">
      <alignment horizontal="center"/>
    </xf>
    <xf numFmtId="165" fontId="19" fillId="0" borderId="0" xfId="0" applyNumberFormat="1" applyFont="1" applyAlignment="1">
      <alignment horizontal="center"/>
    </xf>
    <xf numFmtId="0" fontId="24" fillId="0" borderId="1" xfId="1" applyFont="1" applyBorder="1" applyAlignment="1">
      <alignment horizontal="center" vertical="center"/>
    </xf>
    <xf numFmtId="0" fontId="0" fillId="0" borderId="3" xfId="1" applyFont="1" applyBorder="1" applyAlignment="1">
      <alignment horizontal="center" vertical="center"/>
    </xf>
    <xf numFmtId="0" fontId="0" fillId="0" borderId="4" xfId="1" applyFont="1" applyBorder="1" applyAlignment="1">
      <alignment horizontal="center" vertical="center"/>
    </xf>
    <xf numFmtId="0" fontId="0" fillId="0" borderId="5" xfId="1" applyFont="1" applyBorder="1" applyAlignment="1">
      <alignment horizontal="center" vertical="center"/>
    </xf>
    <xf numFmtId="0" fontId="0" fillId="0" borderId="0" xfId="1" applyFont="1" applyAlignment="1">
      <alignment horizontal="center"/>
    </xf>
    <xf numFmtId="0" fontId="0" fillId="0" borderId="6" xfId="1" applyFont="1" applyBorder="1" applyAlignment="1">
      <alignment horizontal="center"/>
    </xf>
    <xf numFmtId="0" fontId="0" fillId="0" borderId="7" xfId="1" applyFont="1" applyBorder="1" applyAlignment="1">
      <alignment horizontal="center"/>
    </xf>
    <xf numFmtId="0" fontId="24" fillId="0" borderId="0" xfId="1" applyFont="1"/>
    <xf numFmtId="0" fontId="0" fillId="0" borderId="0" xfId="1" applyFont="1" applyAlignment="1">
      <alignment horizontal="left" indent="3"/>
    </xf>
    <xf numFmtId="165" fontId="0" fillId="0" borderId="0" xfId="1" applyNumberFormat="1" applyFont="1" applyAlignment="1">
      <alignment horizontal="center"/>
    </xf>
    <xf numFmtId="165" fontId="0" fillId="0" borderId="6" xfId="1" applyNumberFormat="1" applyFont="1" applyBorder="1" applyAlignment="1">
      <alignment horizontal="center"/>
    </xf>
    <xf numFmtId="165" fontId="19" fillId="0" borderId="0" xfId="1" applyNumberFormat="1" applyFont="1" applyAlignment="1">
      <alignment horizontal="center"/>
    </xf>
    <xf numFmtId="165" fontId="19" fillId="0" borderId="6" xfId="1" applyNumberFormat="1" applyFont="1" applyBorder="1" applyAlignment="1">
      <alignment horizontal="center"/>
    </xf>
    <xf numFmtId="2" fontId="0" fillId="0" borderId="0" xfId="1" applyNumberFormat="1" applyFont="1" applyAlignment="1">
      <alignment horizontal="center"/>
    </xf>
    <xf numFmtId="2" fontId="0" fillId="0" borderId="6" xfId="1" applyNumberFormat="1" applyFont="1" applyBorder="1" applyAlignment="1">
      <alignment horizontal="center"/>
    </xf>
    <xf numFmtId="0" fontId="0" fillId="0" borderId="1" xfId="1" applyFont="1" applyBorder="1"/>
    <xf numFmtId="0" fontId="0" fillId="0" borderId="1" xfId="1" applyFont="1" applyBorder="1" applyAlignment="1">
      <alignment horizontal="center"/>
    </xf>
    <xf numFmtId="169" fontId="0" fillId="0" borderId="8" xfId="1" applyNumberFormat="1" applyFont="1" applyBorder="1" applyAlignment="1">
      <alignment horizontal="center"/>
    </xf>
    <xf numFmtId="169" fontId="0" fillId="0" borderId="1" xfId="1" applyNumberFormat="1" applyFont="1" applyBorder="1" applyAlignment="1">
      <alignment horizontal="center"/>
    </xf>
    <xf numFmtId="0" fontId="11" fillId="0" borderId="0" xfId="1" applyFont="1" applyAlignment="1">
      <alignment horizontal="center"/>
    </xf>
    <xf numFmtId="0" fontId="0" fillId="0" borderId="7" xfId="1" applyFont="1" applyBorder="1" applyAlignment="1">
      <alignment vertical="top"/>
    </xf>
    <xf numFmtId="0" fontId="0" fillId="0" borderId="0" xfId="0" applyBorder="1"/>
    <xf numFmtId="0" fontId="11" fillId="0" borderId="0" xfId="1" applyFont="1"/>
    <xf numFmtId="0" fontId="5" fillId="2" borderId="0" xfId="0" applyFont="1" applyFill="1" applyAlignment="1" applyProtection="1">
      <alignment horizontal="left" vertical="center"/>
      <protection locked="0"/>
    </xf>
    <xf numFmtId="0" fontId="11" fillId="0" borderId="0" xfId="1" applyFont="1" applyAlignment="1">
      <alignment vertical="top" wrapText="1"/>
    </xf>
    <xf numFmtId="0" fontId="27" fillId="0" borderId="0" xfId="0" applyFont="1"/>
    <xf numFmtId="3" fontId="18" fillId="0" borderId="0" xfId="0" applyNumberFormat="1" applyFont="1" applyAlignment="1" applyProtection="1">
      <alignment vertical="center"/>
      <protection locked="0"/>
    </xf>
    <xf numFmtId="0" fontId="26" fillId="0" borderId="0" xfId="0" applyFont="1"/>
    <xf numFmtId="0" fontId="0" fillId="0" borderId="0" xfId="0" applyAlignment="1">
      <alignment horizontal="center"/>
    </xf>
    <xf numFmtId="0" fontId="0" fillId="0" borderId="0" xfId="0" applyFill="1"/>
    <xf numFmtId="0" fontId="16" fillId="0" borderId="0" xfId="0" applyFont="1" applyFill="1" applyAlignment="1">
      <alignment horizontal="right"/>
    </xf>
    <xf numFmtId="0" fontId="11" fillId="0" borderId="0" xfId="0" applyFont="1" applyFill="1"/>
    <xf numFmtId="0" fontId="19" fillId="0" borderId="0" xfId="1" applyFont="1" applyFill="1" applyAlignment="1">
      <alignment horizontal="left"/>
    </xf>
    <xf numFmtId="0" fontId="0" fillId="0" borderId="0" xfId="0" applyAlignment="1">
      <alignment horizontal="center"/>
    </xf>
    <xf numFmtId="0" fontId="11" fillId="0" borderId="0" xfId="0" applyFont="1" applyAlignment="1">
      <alignment horizontal="center"/>
    </xf>
    <xf numFmtId="0" fontId="26" fillId="0" borderId="0" xfId="7" applyAlignment="1">
      <alignment horizontal="center"/>
    </xf>
    <xf numFmtId="1" fontId="0" fillId="0" borderId="0" xfId="0" applyNumberFormat="1"/>
    <xf numFmtId="1" fontId="26" fillId="0" borderId="0" xfId="7" applyNumberFormat="1" applyAlignment="1">
      <alignment horizontal="center"/>
    </xf>
    <xf numFmtId="1" fontId="26" fillId="0" borderId="0" xfId="7" applyNumberFormat="1" applyBorder="1" applyAlignment="1">
      <alignment horizontal="center"/>
    </xf>
    <xf numFmtId="1" fontId="26" fillId="0" borderId="6" xfId="7" applyNumberFormat="1" applyBorder="1" applyAlignment="1">
      <alignment horizontal="center"/>
    </xf>
    <xf numFmtId="1" fontId="26" fillId="0" borderId="9" xfId="7" applyNumberFormat="1" applyBorder="1" applyAlignment="1">
      <alignment horizontal="center"/>
    </xf>
    <xf numFmtId="3" fontId="19" fillId="0" borderId="0" xfId="0" applyNumberFormat="1" applyFont="1" applyBorder="1" applyAlignment="1" applyProtection="1">
      <alignment vertical="center"/>
      <protection locked="0"/>
    </xf>
    <xf numFmtId="3" fontId="0" fillId="0" borderId="0" xfId="0" applyNumberFormat="1" applyFont="1" applyBorder="1"/>
    <xf numFmtId="3" fontId="0" fillId="0" borderId="6" xfId="0" applyNumberFormat="1" applyFont="1" applyBorder="1"/>
    <xf numFmtId="3" fontId="0" fillId="0" borderId="9" xfId="0" applyNumberFormat="1" applyFont="1" applyBorder="1"/>
    <xf numFmtId="3" fontId="0" fillId="0" borderId="0" xfId="0" applyNumberFormat="1" applyFont="1"/>
    <xf numFmtId="0" fontId="29" fillId="0" borderId="0" xfId="0" applyFont="1" applyAlignment="1" applyProtection="1">
      <alignment vertical="center"/>
      <protection locked="0"/>
    </xf>
    <xf numFmtId="0" fontId="22" fillId="0" borderId="0" xfId="0" applyFont="1" applyFill="1" applyAlignment="1"/>
    <xf numFmtId="165" fontId="26" fillId="0" borderId="0" xfId="7" applyNumberFormat="1" applyAlignment="1">
      <alignment horizontal="center"/>
    </xf>
    <xf numFmtId="0" fontId="26" fillId="0" borderId="1" xfId="7" applyBorder="1" applyAlignment="1">
      <alignment horizontal="center" wrapText="1"/>
    </xf>
    <xf numFmtId="0" fontId="0" fillId="0" borderId="1" xfId="0" applyBorder="1" applyAlignment="1">
      <alignment horizontal="center" vertical="center" wrapText="1"/>
    </xf>
    <xf numFmtId="2" fontId="0" fillId="0" borderId="0" xfId="0" applyNumberFormat="1" applyAlignment="1">
      <alignment horizontal="center" vertical="center"/>
    </xf>
    <xf numFmtId="3" fontId="26" fillId="0" borderId="0" xfId="7" applyNumberFormat="1" applyAlignment="1">
      <alignment horizontal="center"/>
    </xf>
    <xf numFmtId="2" fontId="0" fillId="0" borderId="1" xfId="0" applyNumberFormat="1" applyBorder="1" applyAlignment="1">
      <alignment horizontal="center" vertical="center"/>
    </xf>
    <xf numFmtId="3" fontId="26" fillId="0" borderId="1" xfId="7" applyNumberFormat="1" applyBorder="1" applyAlignment="1">
      <alignment horizontal="center"/>
    </xf>
    <xf numFmtId="165" fontId="26" fillId="0" borderId="1" xfId="7" applyNumberFormat="1" applyBorder="1" applyAlignment="1">
      <alignment horizontal="center"/>
    </xf>
    <xf numFmtId="2" fontId="11" fillId="0" borderId="0" xfId="0" applyNumberFormat="1" applyFont="1" applyBorder="1" applyAlignment="1">
      <alignment horizontal="center" vertical="center"/>
    </xf>
    <xf numFmtId="0" fontId="30" fillId="0" borderId="0" xfId="7" applyFont="1" applyBorder="1" applyAlignment="1">
      <alignment horizontal="center" wrapText="1"/>
    </xf>
    <xf numFmtId="0" fontId="11" fillId="0" borderId="0" xfId="0" applyFont="1" applyBorder="1" applyAlignment="1">
      <alignment horizontal="center" vertical="center" wrapText="1"/>
    </xf>
    <xf numFmtId="1" fontId="0" fillId="0" borderId="0" xfId="0" applyNumberFormat="1" applyAlignment="1">
      <alignment horizontal="center"/>
    </xf>
    <xf numFmtId="3" fontId="0" fillId="0" borderId="0" xfId="0" applyNumberFormat="1" applyAlignment="1">
      <alignment horizontal="center"/>
    </xf>
    <xf numFmtId="0" fontId="0" fillId="0" borderId="1" xfId="0" applyFont="1" applyBorder="1" applyAlignment="1">
      <alignment horizontal="center" vertical="center" wrapText="1"/>
    </xf>
    <xf numFmtId="0" fontId="0" fillId="0" borderId="0" xfId="0" applyFont="1" applyAlignment="1">
      <alignment horizontal="center"/>
    </xf>
    <xf numFmtId="165" fontId="0" fillId="0" borderId="0" xfId="0" applyNumberFormat="1" applyFont="1" applyAlignment="1">
      <alignment horizontal="center"/>
    </xf>
    <xf numFmtId="0" fontId="11" fillId="0" borderId="1" xfId="0" applyFont="1" applyBorder="1" applyAlignment="1">
      <alignment horizontal="center"/>
    </xf>
    <xf numFmtId="3" fontId="0" fillId="0" borderId="0" xfId="0" applyNumberFormat="1" applyBorder="1" applyAlignment="1">
      <alignment horizontal="center"/>
    </xf>
    <xf numFmtId="3" fontId="0" fillId="0" borderId="6" xfId="0" applyNumberFormat="1" applyBorder="1" applyAlignment="1">
      <alignment horizontal="center"/>
    </xf>
    <xf numFmtId="0" fontId="31" fillId="0" borderId="0" xfId="1" applyFont="1" applyAlignment="1">
      <alignment horizontal="center"/>
    </xf>
    <xf numFmtId="165" fontId="0" fillId="0" borderId="1" xfId="0" applyNumberFormat="1" applyBorder="1"/>
    <xf numFmtId="0" fontId="0" fillId="0" borderId="1" xfId="0" applyBorder="1"/>
    <xf numFmtId="1" fontId="0" fillId="0" borderId="0" xfId="0" applyNumberFormat="1" applyBorder="1" applyAlignment="1">
      <alignment horizontal="center"/>
    </xf>
    <xf numFmtId="1" fontId="0" fillId="0" borderId="6" xfId="0" applyNumberFormat="1" applyBorder="1" applyAlignment="1">
      <alignment horizontal="center"/>
    </xf>
    <xf numFmtId="165" fontId="26" fillId="0" borderId="0" xfId="0" applyNumberFormat="1" applyFont="1" applyAlignment="1">
      <alignment horizontal="center"/>
    </xf>
    <xf numFmtId="165" fontId="19" fillId="0" borderId="0" xfId="0" applyNumberFormat="1" applyFont="1" applyAlignment="1" applyProtection="1">
      <alignment horizontal="center" vertical="center"/>
      <protection locked="0"/>
    </xf>
    <xf numFmtId="165" fontId="11" fillId="0" borderId="0" xfId="0" applyNumberFormat="1" applyFont="1" applyFill="1" applyAlignment="1">
      <alignment horizontal="center"/>
    </xf>
    <xf numFmtId="0" fontId="11" fillId="0" borderId="0" xfId="0" applyFont="1" applyBorder="1" applyAlignment="1">
      <alignment horizontal="center"/>
    </xf>
    <xf numFmtId="165" fontId="0" fillId="0" borderId="0" xfId="0" applyNumberFormat="1" applyFont="1" applyFill="1" applyAlignment="1">
      <alignment horizontal="center"/>
    </xf>
    <xf numFmtId="0" fontId="20" fillId="0" borderId="0" xfId="1" applyFont="1" applyFill="1" applyAlignment="1">
      <alignment horizontal="center"/>
    </xf>
    <xf numFmtId="0" fontId="20" fillId="0" borderId="0" xfId="1" applyFont="1" applyAlignment="1">
      <alignment horizontal="center"/>
    </xf>
    <xf numFmtId="0" fontId="20" fillId="0" borderId="0" xfId="0" applyFont="1" applyAlignment="1" applyProtection="1">
      <alignment horizontal="center" vertical="center"/>
      <protection locked="0"/>
    </xf>
    <xf numFmtId="0" fontId="11" fillId="0" borderId="0" xfId="0" applyFont="1" applyFill="1" applyAlignment="1">
      <alignment horizontal="center"/>
    </xf>
    <xf numFmtId="0" fontId="0" fillId="0" borderId="0" xfId="0" applyFont="1" applyAlignment="1">
      <alignment vertical="center" wrapText="1"/>
    </xf>
    <xf numFmtId="0" fontId="0" fillId="0" borderId="0" xfId="0" applyFont="1"/>
    <xf numFmtId="0" fontId="0" fillId="0" borderId="1" xfId="0" applyFont="1" applyBorder="1" applyAlignment="1">
      <alignment horizontal="center"/>
    </xf>
    <xf numFmtId="1" fontId="19" fillId="0" borderId="0" xfId="0" applyNumberFormat="1" applyFont="1" applyAlignment="1">
      <alignment horizontal="center"/>
    </xf>
    <xf numFmtId="1" fontId="11" fillId="0" borderId="0" xfId="0" applyNumberFormat="1" applyFont="1" applyAlignment="1">
      <alignment horizontal="center"/>
    </xf>
    <xf numFmtId="165" fontId="11" fillId="0" borderId="0" xfId="0" applyNumberFormat="1" applyFont="1" applyAlignment="1">
      <alignment horizontal="center"/>
    </xf>
    <xf numFmtId="1" fontId="19" fillId="0" borderId="0" xfId="0" applyNumberFormat="1" applyFont="1" applyAlignment="1" applyProtection="1">
      <alignment horizontal="center" vertical="center"/>
      <protection locked="0"/>
    </xf>
    <xf numFmtId="0" fontId="19" fillId="0" borderId="0" xfId="0" applyFont="1" applyAlignment="1" applyProtection="1">
      <alignment horizontal="center" vertical="center"/>
      <protection locked="0"/>
    </xf>
    <xf numFmtId="166" fontId="0" fillId="0" borderId="0" xfId="0" applyNumberFormat="1" applyFont="1" applyAlignment="1">
      <alignment horizontal="center"/>
    </xf>
    <xf numFmtId="1" fontId="11" fillId="0" borderId="0" xfId="0" applyNumberFormat="1" applyFont="1" applyFill="1" applyAlignment="1">
      <alignment horizontal="center"/>
    </xf>
    <xf numFmtId="0" fontId="32" fillId="0" borderId="0" xfId="1" applyFont="1" applyAlignment="1">
      <alignment horizontal="center"/>
    </xf>
    <xf numFmtId="1" fontId="0" fillId="0" borderId="0" xfId="0" applyNumberFormat="1" applyFont="1" applyAlignment="1">
      <alignment horizontal="center"/>
    </xf>
    <xf numFmtId="0" fontId="11" fillId="0" borderId="0" xfId="0" applyFont="1" applyBorder="1"/>
    <xf numFmtId="0" fontId="26" fillId="0" borderId="0" xfId="0" applyFont="1" applyAlignment="1"/>
    <xf numFmtId="0" fontId="11" fillId="0" borderId="0" xfId="1" applyFont="1" applyAlignment="1">
      <alignment vertical="top"/>
    </xf>
    <xf numFmtId="0" fontId="27" fillId="0" borderId="0" xfId="0" applyFont="1" applyAlignment="1"/>
    <xf numFmtId="165" fontId="0" fillId="0" borderId="0" xfId="0" applyNumberFormat="1" applyAlignment="1"/>
    <xf numFmtId="0" fontId="2" fillId="0" borderId="0" xfId="1" applyFont="1" applyAlignment="1"/>
    <xf numFmtId="0" fontId="13" fillId="0" borderId="0" xfId="1" applyFont="1" applyAlignment="1"/>
    <xf numFmtId="0" fontId="1" fillId="0" borderId="0" xfId="0" applyFont="1" applyBorder="1" applyAlignment="1">
      <alignment horizontal="right"/>
    </xf>
    <xf numFmtId="0" fontId="2" fillId="0" borderId="0" xfId="1" applyFont="1" applyBorder="1" applyAlignment="1">
      <alignment vertical="top" wrapText="1"/>
    </xf>
    <xf numFmtId="0" fontId="17" fillId="0" borderId="0" xfId="0" applyFont="1" applyBorder="1" applyAlignment="1">
      <alignment horizontal="right"/>
    </xf>
    <xf numFmtId="0" fontId="11" fillId="0" borderId="0" xfId="1" applyFont="1" applyBorder="1" applyAlignment="1">
      <alignment vertical="top" wrapText="1"/>
    </xf>
    <xf numFmtId="0" fontId="18" fillId="0" borderId="0" xfId="0" applyFont="1" applyBorder="1" applyAlignment="1" applyProtection="1">
      <alignment horizontal="right" vertical="center"/>
      <protection locked="0"/>
    </xf>
    <xf numFmtId="165" fontId="0" fillId="0" borderId="0" xfId="0" applyNumberFormat="1" applyBorder="1"/>
    <xf numFmtId="165" fontId="19" fillId="0" borderId="0" xfId="0" applyNumberFormat="1" applyFont="1" applyBorder="1"/>
    <xf numFmtId="165" fontId="18" fillId="0" borderId="0" xfId="0" applyNumberFormat="1" applyFont="1" applyBorder="1" applyAlignment="1" applyProtection="1">
      <alignment vertical="center"/>
      <protection locked="0"/>
    </xf>
    <xf numFmtId="0" fontId="18" fillId="0" borderId="0" xfId="0" applyFont="1" applyBorder="1" applyAlignment="1" applyProtection="1">
      <alignment vertical="center"/>
      <protection locked="0"/>
    </xf>
    <xf numFmtId="2" fontId="18" fillId="0" borderId="0" xfId="0" applyNumberFormat="1" applyFont="1" applyBorder="1" applyAlignment="1" applyProtection="1">
      <alignment vertical="center"/>
      <protection locked="0"/>
    </xf>
    <xf numFmtId="0" fontId="0" fillId="0" borderId="0" xfId="0" applyFont="1" applyAlignment="1"/>
    <xf numFmtId="0" fontId="19" fillId="0" borderId="0" xfId="0" applyFont="1" applyAlignment="1">
      <alignment horizontal="center"/>
    </xf>
    <xf numFmtId="3" fontId="19" fillId="0" borderId="0" xfId="0" applyNumberFormat="1" applyFont="1" applyAlignment="1" applyProtection="1">
      <alignment horizontal="center" vertical="center"/>
      <protection locked="0"/>
    </xf>
    <xf numFmtId="0" fontId="19" fillId="0" borderId="1" xfId="0" applyFont="1" applyBorder="1" applyAlignment="1">
      <alignment horizontal="center"/>
    </xf>
    <xf numFmtId="0" fontId="0" fillId="0" borderId="0" xfId="0" applyFont="1" applyFill="1" applyAlignment="1">
      <alignment horizontal="center"/>
    </xf>
    <xf numFmtId="1" fontId="0" fillId="0" borderId="0" xfId="0" applyNumberFormat="1" applyFont="1" applyFill="1" applyAlignment="1">
      <alignment horizontal="center"/>
    </xf>
    <xf numFmtId="0" fontId="26" fillId="0" borderId="1" xfId="7" applyBorder="1" applyAlignment="1">
      <alignment horizontal="center"/>
    </xf>
    <xf numFmtId="165" fontId="26" fillId="0" borderId="8" xfId="7" applyNumberFormat="1" applyBorder="1" applyAlignment="1">
      <alignment horizontal="center"/>
    </xf>
    <xf numFmtId="0" fontId="30" fillId="0" borderId="0" xfId="7" applyFont="1" applyBorder="1" applyAlignment="1">
      <alignment horizontal="center"/>
    </xf>
    <xf numFmtId="1" fontId="26" fillId="0" borderId="1" xfId="7" applyNumberFormat="1" applyBorder="1" applyAlignment="1">
      <alignment horizontal="center"/>
    </xf>
    <xf numFmtId="1" fontId="26" fillId="0" borderId="8" xfId="7" applyNumberFormat="1" applyBorder="1" applyAlignment="1">
      <alignment horizontal="center"/>
    </xf>
    <xf numFmtId="0" fontId="11" fillId="0" borderId="6" xfId="0" applyFont="1" applyBorder="1" applyAlignment="1">
      <alignment horizontal="center"/>
    </xf>
    <xf numFmtId="1" fontId="30" fillId="0" borderId="9" xfId="7" applyNumberFormat="1" applyFont="1" applyBorder="1" applyAlignment="1">
      <alignment horizontal="center"/>
    </xf>
    <xf numFmtId="1" fontId="30" fillId="0" borderId="0" xfId="7" applyNumberFormat="1" applyFont="1" applyBorder="1" applyAlignment="1">
      <alignment horizontal="center"/>
    </xf>
    <xf numFmtId="165" fontId="11" fillId="0" borderId="0" xfId="0" applyNumberFormat="1" applyFont="1" applyBorder="1"/>
    <xf numFmtId="0" fontId="26" fillId="0" borderId="1" xfId="7" applyBorder="1" applyAlignment="1">
      <alignment horizontal="center"/>
    </xf>
    <xf numFmtId="0" fontId="26" fillId="0" borderId="8" xfId="7" applyBorder="1" applyAlignment="1">
      <alignment horizontal="center"/>
    </xf>
    <xf numFmtId="0" fontId="26" fillId="0" borderId="0" xfId="7" applyBorder="1" applyAlignment="1">
      <alignment horizontal="center"/>
    </xf>
    <xf numFmtId="0" fontId="0" fillId="0" borderId="0" xfId="0" applyBorder="1" applyAlignment="1"/>
    <xf numFmtId="0" fontId="26" fillId="0" borderId="0" xfId="0" applyFont="1" applyBorder="1" applyAlignment="1"/>
    <xf numFmtId="0" fontId="11" fillId="0" borderId="0" xfId="1" applyFont="1" applyBorder="1" applyAlignment="1">
      <alignment vertical="top"/>
    </xf>
    <xf numFmtId="3" fontId="26" fillId="0" borderId="0" xfId="7" applyNumberFormat="1" applyBorder="1" applyAlignment="1">
      <alignment horizontal="center"/>
    </xf>
    <xf numFmtId="3" fontId="26" fillId="0" borderId="6" xfId="7" applyNumberFormat="1" applyBorder="1" applyAlignment="1">
      <alignment horizontal="center"/>
    </xf>
    <xf numFmtId="3" fontId="1" fillId="0" borderId="0" xfId="0" applyNumberFormat="1" applyFont="1" applyAlignment="1">
      <alignment horizontal="right"/>
    </xf>
    <xf numFmtId="3" fontId="0" fillId="0" borderId="0" xfId="1" applyNumberFormat="1" applyFont="1" applyAlignment="1">
      <alignment vertical="top"/>
    </xf>
    <xf numFmtId="3" fontId="19" fillId="0" borderId="0" xfId="0" applyNumberFormat="1" applyFont="1" applyAlignment="1" applyProtection="1">
      <alignment vertical="center"/>
      <protection locked="0"/>
    </xf>
    <xf numFmtId="3" fontId="0" fillId="0" borderId="0" xfId="0" applyNumberFormat="1" applyFont="1" applyAlignment="1"/>
    <xf numFmtId="0" fontId="17" fillId="0" borderId="0" xfId="0" applyFont="1" applyBorder="1" applyAlignment="1">
      <alignment horizontal="center"/>
    </xf>
    <xf numFmtId="0" fontId="17" fillId="0" borderId="6" xfId="0" applyFont="1" applyBorder="1" applyAlignment="1">
      <alignment horizontal="center"/>
    </xf>
    <xf numFmtId="1" fontId="26" fillId="0" borderId="0" xfId="7" applyNumberFormat="1" applyBorder="1" applyAlignment="1">
      <alignment horizontal="left"/>
    </xf>
    <xf numFmtId="0" fontId="20" fillId="0" borderId="0" xfId="1" applyFont="1" applyFill="1" applyAlignment="1">
      <alignment horizontal="left"/>
    </xf>
    <xf numFmtId="0" fontId="20" fillId="0" borderId="0" xfId="0" applyFont="1" applyAlignment="1" applyProtection="1">
      <alignment horizontal="left" vertical="center"/>
      <protection locked="0"/>
    </xf>
    <xf numFmtId="0" fontId="11" fillId="0" borderId="0" xfId="1" applyFont="1" applyAlignment="1">
      <alignment horizontal="left"/>
    </xf>
    <xf numFmtId="0" fontId="11" fillId="0" borderId="0" xfId="0" applyFont="1" applyFill="1" applyAlignment="1">
      <alignment horizontal="left"/>
    </xf>
    <xf numFmtId="0" fontId="0" fillId="0" borderId="0" xfId="0" applyFont="1" applyAlignment="1">
      <alignment horizontal="left"/>
    </xf>
    <xf numFmtId="0" fontId="19" fillId="0" borderId="0" xfId="0" applyFont="1" applyAlignment="1" applyProtection="1">
      <alignment horizontal="left" vertical="center"/>
      <protection locked="0"/>
    </xf>
    <xf numFmtId="166" fontId="0" fillId="0" borderId="0" xfId="0" applyNumberFormat="1" applyFont="1" applyAlignment="1">
      <alignment horizontal="left"/>
    </xf>
    <xf numFmtId="0" fontId="0" fillId="0" borderId="0" xfId="0" applyFont="1" applyFill="1" applyAlignment="1">
      <alignment horizontal="left"/>
    </xf>
    <xf numFmtId="0" fontId="33" fillId="0" borderId="0" xfId="1" applyFont="1" applyAlignment="1">
      <alignment horizontal="left"/>
    </xf>
    <xf numFmtId="0" fontId="11" fillId="0" borderId="0" xfId="0" applyFont="1" applyAlignment="1">
      <alignment horizontal="center"/>
    </xf>
    <xf numFmtId="165" fontId="26" fillId="0" borderId="0" xfId="7" applyNumberFormat="1" applyBorder="1" applyAlignment="1">
      <alignment horizontal="center"/>
    </xf>
    <xf numFmtId="165" fontId="0" fillId="0" borderId="6" xfId="0" applyNumberFormat="1" applyBorder="1"/>
    <xf numFmtId="0" fontId="10" fillId="0" borderId="0" xfId="0" applyFont="1" applyAlignment="1" applyProtection="1">
      <alignment vertical="center"/>
      <protection locked="0"/>
    </xf>
    <xf numFmtId="0" fontId="4" fillId="0" borderId="0" xfId="0" applyFont="1" applyAlignment="1" applyProtection="1">
      <alignment vertical="center"/>
      <protection locked="0"/>
    </xf>
    <xf numFmtId="0" fontId="11" fillId="0" borderId="0" xfId="0" applyFont="1" applyFill="1" applyAlignment="1"/>
    <xf numFmtId="0" fontId="26" fillId="0" borderId="0" xfId="7" applyAlignment="1"/>
    <xf numFmtId="0" fontId="26" fillId="0" borderId="1" xfId="7" applyBorder="1" applyAlignment="1"/>
    <xf numFmtId="0" fontId="11" fillId="0" borderId="0" xfId="0" applyFont="1" applyAlignment="1"/>
    <xf numFmtId="0" fontId="20" fillId="0" borderId="0" xfId="1" applyFont="1" applyFill="1" applyAlignment="1"/>
    <xf numFmtId="0" fontId="20" fillId="0" borderId="0" xfId="1" applyFont="1" applyAlignment="1"/>
    <xf numFmtId="0" fontId="11" fillId="0" borderId="0" xfId="1" applyFont="1" applyAlignment="1"/>
    <xf numFmtId="0" fontId="2" fillId="0" borderId="0" xfId="1" applyFont="1" applyBorder="1" applyAlignment="1"/>
    <xf numFmtId="0" fontId="12" fillId="0" borderId="0" xfId="0" applyFont="1" applyAlignment="1"/>
    <xf numFmtId="0" fontId="22" fillId="0" borderId="0" xfId="0" applyFont="1" applyAlignment="1"/>
    <xf numFmtId="0" fontId="0" fillId="0" borderId="0" xfId="0" applyFont="1" applyAlignment="1">
      <alignment horizontal="left" vertical="center"/>
    </xf>
    <xf numFmtId="166" fontId="24" fillId="0" borderId="0" xfId="0" applyNumberFormat="1" applyFont="1" applyAlignment="1">
      <alignment horizontal="right"/>
    </xf>
    <xf numFmtId="0" fontId="0" fillId="0" borderId="0" xfId="0" applyFont="1" applyAlignment="1">
      <alignment horizontal="left" indent="1"/>
    </xf>
    <xf numFmtId="2" fontId="19" fillId="0" borderId="0" xfId="0" applyNumberFormat="1" applyFont="1" applyAlignment="1" applyProtection="1">
      <alignment vertical="center"/>
      <protection locked="0"/>
    </xf>
    <xf numFmtId="0" fontId="0" fillId="0" borderId="0" xfId="0" applyFont="1" applyAlignment="1">
      <alignment horizontal="right"/>
    </xf>
    <xf numFmtId="0" fontId="19" fillId="0" borderId="0" xfId="0" applyFont="1" applyAlignment="1" applyProtection="1">
      <alignment horizontal="right" vertical="center"/>
      <protection locked="0"/>
    </xf>
    <xf numFmtId="0" fontId="0" fillId="0" borderId="0" xfId="1" applyFont="1" applyAlignment="1">
      <alignment horizontal="right"/>
    </xf>
    <xf numFmtId="165" fontId="31" fillId="0" borderId="0" xfId="1" applyNumberFormat="1" applyFont="1"/>
    <xf numFmtId="165" fontId="0" fillId="0" borderId="0" xfId="0" applyNumberFormat="1" applyFont="1"/>
    <xf numFmtId="166" fontId="11" fillId="0" borderId="0" xfId="0" applyNumberFormat="1" applyFont="1" applyAlignment="1">
      <alignment horizontal="right"/>
    </xf>
    <xf numFmtId="0" fontId="20" fillId="0" borderId="0" xfId="0" applyFont="1" applyAlignment="1" applyProtection="1">
      <alignment horizontal="right" vertical="center"/>
      <protection locked="0"/>
    </xf>
    <xf numFmtId="0" fontId="0" fillId="0" borderId="3" xfId="0" applyBorder="1" applyAlignment="1">
      <alignment horizontal="right"/>
    </xf>
    <xf numFmtId="165" fontId="0" fillId="0" borderId="0" xfId="0" applyNumberFormat="1" applyAlignment="1">
      <alignment horizontal="right"/>
    </xf>
    <xf numFmtId="0" fontId="36" fillId="0" borderId="3" xfId="8" applyFont="1" applyBorder="1" applyAlignment="1">
      <alignment horizontal="center" vertical="center" wrapText="1"/>
    </xf>
    <xf numFmtId="0" fontId="26" fillId="0" borderId="10" xfId="7" applyBorder="1" applyAlignment="1">
      <alignment horizontal="right" vertical="center" wrapText="1"/>
    </xf>
    <xf numFmtId="0" fontId="0" fillId="0" borderId="3" xfId="0" applyBorder="1" applyAlignment="1">
      <alignment horizontal="right" vertical="center" wrapText="1"/>
    </xf>
    <xf numFmtId="0" fontId="26" fillId="0" borderId="3" xfId="7" applyBorder="1" applyAlignment="1">
      <alignment horizontal="right" vertical="center"/>
    </xf>
    <xf numFmtId="0" fontId="1" fillId="0" borderId="0" xfId="0" applyFont="1"/>
    <xf numFmtId="3" fontId="26" fillId="0" borderId="11" xfId="7" applyNumberFormat="1" applyBorder="1" applyAlignment="1">
      <alignment horizontal="right"/>
    </xf>
    <xf numFmtId="165" fontId="26" fillId="0" borderId="0" xfId="7" applyNumberFormat="1" applyAlignment="1">
      <alignment horizontal="right"/>
    </xf>
    <xf numFmtId="0" fontId="36" fillId="0" borderId="0" xfId="8" applyFont="1" applyAlignment="1">
      <alignment horizontal="left" wrapText="1" indent="1"/>
    </xf>
    <xf numFmtId="0" fontId="26" fillId="0" borderId="11" xfId="7" applyBorder="1" applyAlignment="1">
      <alignment horizontal="right"/>
    </xf>
    <xf numFmtId="0" fontId="26" fillId="0" borderId="11" xfId="7" applyBorder="1"/>
    <xf numFmtId="0" fontId="26" fillId="0" borderId="0" xfId="7"/>
    <xf numFmtId="165" fontId="26" fillId="0" borderId="0" xfId="7" applyNumberFormat="1"/>
    <xf numFmtId="0" fontId="36" fillId="0" borderId="1" xfId="8" applyFont="1" applyBorder="1" applyAlignment="1">
      <alignment horizontal="left" wrapText="1" indent="1"/>
    </xf>
    <xf numFmtId="0" fontId="26" fillId="0" borderId="12" xfId="7" applyBorder="1"/>
    <xf numFmtId="165" fontId="26" fillId="0" borderId="1" xfId="7" applyNumberFormat="1" applyBorder="1"/>
    <xf numFmtId="0" fontId="11" fillId="0" borderId="0" xfId="1" applyFont="1" applyFill="1" applyAlignment="1">
      <alignment horizontal="left"/>
    </xf>
    <xf numFmtId="0" fontId="0" fillId="0" borderId="1" xfId="0" applyBorder="1" applyAlignment="1"/>
    <xf numFmtId="0" fontId="37" fillId="0" borderId="0" xfId="0" applyFont="1" applyAlignment="1">
      <alignment horizontal="right"/>
    </xf>
    <xf numFmtId="0" fontId="38" fillId="0" borderId="0" xfId="0" applyFont="1" applyAlignment="1">
      <alignment horizontal="left"/>
    </xf>
    <xf numFmtId="0" fontId="11" fillId="0" borderId="0" xfId="0" applyFont="1" applyAlignment="1">
      <alignment horizontal="center"/>
    </xf>
    <xf numFmtId="0" fontId="19" fillId="0" borderId="0" xfId="0" applyFont="1"/>
    <xf numFmtId="0" fontId="19" fillId="0" borderId="0" xfId="0" applyFont="1" applyAlignment="1">
      <alignment vertical="top" wrapText="1"/>
    </xf>
    <xf numFmtId="0" fontId="24" fillId="0" borderId="0" xfId="6" applyFont="1" applyAlignment="1">
      <alignment horizontal="center" vertical="center" wrapText="1"/>
    </xf>
    <xf numFmtId="165" fontId="39" fillId="0" borderId="0" xfId="6" applyNumberFormat="1" applyFont="1" applyAlignment="1">
      <alignment horizontal="center" vertical="center" wrapText="1"/>
    </xf>
    <xf numFmtId="0" fontId="19" fillId="0" borderId="0" xfId="0" applyFont="1" applyAlignment="1">
      <alignment horizontal="center" vertical="center" wrapText="1"/>
    </xf>
    <xf numFmtId="165" fontId="40" fillId="0" borderId="0" xfId="6" applyNumberFormat="1" applyFont="1"/>
    <xf numFmtId="165" fontId="26" fillId="0" borderId="0" xfId="6" applyNumberFormat="1"/>
    <xf numFmtId="0" fontId="19" fillId="0" borderId="0" xfId="0" applyFont="1" applyAlignment="1">
      <alignment vertical="center"/>
    </xf>
    <xf numFmtId="0" fontId="24" fillId="0" borderId="0" xfId="6" applyFont="1" applyAlignment="1">
      <alignment vertical="center"/>
    </xf>
    <xf numFmtId="0" fontId="20" fillId="0" borderId="0" xfId="0" applyFont="1"/>
    <xf numFmtId="0" fontId="39" fillId="0" borderId="0" xfId="6" applyFont="1" applyAlignment="1">
      <alignment horizontal="center" vertical="center" wrapText="1"/>
    </xf>
    <xf numFmtId="0" fontId="20" fillId="0" borderId="0" xfId="0" applyFont="1" applyAlignment="1">
      <alignment horizontal="center" vertical="center" wrapText="1"/>
    </xf>
    <xf numFmtId="0" fontId="2" fillId="0" borderId="0" xfId="6" applyFont="1" applyAlignment="1">
      <alignment vertical="center"/>
    </xf>
    <xf numFmtId="0" fontId="11" fillId="0" borderId="0" xfId="6" applyFont="1" applyAlignment="1">
      <alignment vertical="center"/>
    </xf>
    <xf numFmtId="0" fontId="2" fillId="0" borderId="0" xfId="6" applyFont="1" applyAlignment="1">
      <alignment horizontal="center" vertical="center" wrapText="1"/>
    </xf>
    <xf numFmtId="165" fontId="11" fillId="0" borderId="0" xfId="6" applyNumberFormat="1" applyFont="1" applyAlignment="1">
      <alignment horizontal="center" vertical="center" wrapText="1"/>
    </xf>
    <xf numFmtId="165" fontId="2" fillId="0" borderId="0" xfId="6" applyNumberFormat="1" applyFont="1" applyAlignment="1">
      <alignment horizontal="center" vertical="center" wrapText="1"/>
    </xf>
    <xf numFmtId="0" fontId="11" fillId="0" borderId="0" xfId="6" applyFont="1" applyAlignment="1">
      <alignment horizontal="center" vertical="center" wrapText="1"/>
    </xf>
    <xf numFmtId="0" fontId="19" fillId="0" borderId="0" xfId="0" applyFont="1" applyAlignment="1">
      <alignment horizontal="right"/>
    </xf>
    <xf numFmtId="2" fontId="18" fillId="0" borderId="0" xfId="0" applyNumberFormat="1" applyFont="1"/>
    <xf numFmtId="0" fontId="0" fillId="0" borderId="0" xfId="0" applyFont="1" applyAlignment="1">
      <alignment vertical="center"/>
    </xf>
    <xf numFmtId="0" fontId="0" fillId="0" borderId="0" xfId="6" applyFont="1" applyAlignment="1">
      <alignment vertical="center"/>
    </xf>
    <xf numFmtId="165" fontId="19" fillId="0" borderId="0" xfId="6" applyNumberFormat="1" applyFont="1"/>
    <xf numFmtId="2" fontId="19" fillId="0" borderId="0" xfId="0" applyNumberFormat="1" applyFont="1"/>
    <xf numFmtId="0" fontId="27" fillId="0" borderId="0" xfId="0" applyFont="1" applyAlignment="1">
      <alignment horizontal="center"/>
    </xf>
    <xf numFmtId="0" fontId="19" fillId="0" borderId="0" xfId="0" applyFont="1" applyAlignment="1">
      <alignment horizontal="right" vertical="center"/>
    </xf>
    <xf numFmtId="0" fontId="41" fillId="0" borderId="0" xfId="0" applyFont="1" applyAlignment="1">
      <alignment vertical="center"/>
    </xf>
    <xf numFmtId="0" fontId="12" fillId="0" borderId="0" xfId="6" applyFont="1" applyAlignment="1">
      <alignment horizontal="center" vertical="center"/>
    </xf>
    <xf numFmtId="0" fontId="43" fillId="0" borderId="0" xfId="6" applyFont="1" applyAlignment="1">
      <alignment vertical="center"/>
    </xf>
    <xf numFmtId="0" fontId="12" fillId="0" borderId="0" xfId="0" applyFont="1" applyAlignment="1">
      <alignment horizontal="center" vertical="center"/>
    </xf>
    <xf numFmtId="165" fontId="18" fillId="0" borderId="0" xfId="0" applyNumberFormat="1" applyFont="1" applyAlignment="1">
      <alignment horizontal="center"/>
    </xf>
    <xf numFmtId="0" fontId="20" fillId="0" borderId="0" xfId="0" applyFont="1" applyAlignment="1">
      <alignment horizontal="center"/>
    </xf>
    <xf numFmtId="0" fontId="19" fillId="0" borderId="0" xfId="0" applyFont="1" applyAlignment="1">
      <alignment horizontal="right" indent="3"/>
    </xf>
    <xf numFmtId="0" fontId="11" fillId="0" borderId="0" xfId="0" applyFont="1" applyAlignment="1">
      <alignment horizontal="right" indent="3"/>
    </xf>
    <xf numFmtId="2" fontId="18" fillId="0" borderId="0" xfId="0" applyNumberFormat="1" applyFont="1" applyAlignment="1">
      <alignment horizontal="center"/>
    </xf>
    <xf numFmtId="0" fontId="0" fillId="0" borderId="0" xfId="0" applyAlignment="1">
      <alignment horizontal="left" wrapText="1"/>
    </xf>
    <xf numFmtId="0" fontId="44" fillId="2" borderId="0" xfId="9" applyFont="1" applyFill="1" applyBorder="1" applyAlignment="1">
      <alignment vertical="center"/>
    </xf>
    <xf numFmtId="0" fontId="45" fillId="2" borderId="0" xfId="9" applyFont="1" applyFill="1" applyBorder="1" applyAlignment="1">
      <alignment vertical="center"/>
    </xf>
    <xf numFmtId="0" fontId="44" fillId="2" borderId="0" xfId="9" applyFont="1" applyFill="1" applyBorder="1" applyAlignment="1">
      <alignment horizontal="left" vertical="center"/>
    </xf>
    <xf numFmtId="0" fontId="46" fillId="2" borderId="0" xfId="9" applyFont="1" applyFill="1" applyBorder="1" applyAlignment="1">
      <alignment horizontal="left" vertical="center"/>
    </xf>
    <xf numFmtId="0" fontId="30" fillId="2" borderId="0" xfId="9" applyFont="1" applyFill="1" applyBorder="1" applyAlignment="1">
      <alignment vertical="center"/>
    </xf>
    <xf numFmtId="0" fontId="46" fillId="2" borderId="0" xfId="9" applyFont="1" applyFill="1" applyBorder="1" applyAlignment="1">
      <alignment vertical="center"/>
    </xf>
    <xf numFmtId="0" fontId="48" fillId="2" borderId="0" xfId="9" applyFont="1" applyFill="1" applyBorder="1" applyAlignment="1">
      <alignment vertical="center"/>
    </xf>
    <xf numFmtId="0" fontId="49" fillId="2" borderId="0" xfId="9" applyFont="1" applyFill="1" applyBorder="1" applyAlignment="1">
      <alignment vertical="center"/>
    </xf>
    <xf numFmtId="0" fontId="12" fillId="0" borderId="0" xfId="0" applyFont="1" applyAlignment="1">
      <alignment horizontal="center" vertical="center" wrapText="1"/>
    </xf>
    <xf numFmtId="0" fontId="22" fillId="0" borderId="0" xfId="0" applyFont="1" applyAlignment="1">
      <alignment horizontal="center" vertical="center" wrapText="1"/>
    </xf>
    <xf numFmtId="0" fontId="27" fillId="0" borderId="0" xfId="0" applyFont="1" applyAlignment="1">
      <alignment horizontal="center" wrapText="1"/>
    </xf>
    <xf numFmtId="0" fontId="15" fillId="2" borderId="0" xfId="1" applyFont="1" applyFill="1" applyAlignment="1">
      <alignment horizontal="left" indent="1"/>
    </xf>
    <xf numFmtId="0" fontId="0" fillId="0" borderId="0" xfId="0" applyAlignment="1">
      <alignment horizontal="center"/>
    </xf>
    <xf numFmtId="0" fontId="11" fillId="0" borderId="0" xfId="0" applyFont="1" applyAlignment="1">
      <alignment horizontal="center"/>
    </xf>
    <xf numFmtId="165" fontId="0" fillId="0" borderId="0" xfId="0" applyNumberFormat="1" applyFill="1"/>
    <xf numFmtId="1" fontId="0" fillId="0" borderId="0" xfId="0" applyNumberFormat="1" applyFill="1"/>
    <xf numFmtId="165" fontId="16" fillId="0" borderId="0" xfId="0" applyNumberFormat="1" applyFont="1" applyFill="1" applyAlignment="1">
      <alignment horizontal="right"/>
    </xf>
    <xf numFmtId="165" fontId="1" fillId="0" borderId="0" xfId="0" applyNumberFormat="1" applyFont="1" applyFill="1" applyAlignment="1">
      <alignment horizontal="right"/>
    </xf>
    <xf numFmtId="165" fontId="1" fillId="0" borderId="0" xfId="0" applyNumberFormat="1" applyFont="1" applyAlignment="1">
      <alignment horizontal="right"/>
    </xf>
    <xf numFmtId="17" fontId="0" fillId="0" borderId="0" xfId="0" applyNumberFormat="1"/>
    <xf numFmtId="0" fontId="6" fillId="0" borderId="0" xfId="1" applyAlignment="1">
      <alignment horizontal="right"/>
    </xf>
    <xf numFmtId="0" fontId="6" fillId="0" borderId="0" xfId="1"/>
    <xf numFmtId="0" fontId="6" fillId="0" borderId="0" xfId="1" applyAlignment="1">
      <alignment horizontal="left" indent="1"/>
    </xf>
    <xf numFmtId="0" fontId="52" fillId="0" borderId="0" xfId="1" applyFont="1" applyAlignment="1">
      <alignment horizontal="left" indent="1"/>
    </xf>
    <xf numFmtId="0" fontId="53" fillId="0" borderId="0" xfId="0" applyFont="1" applyAlignment="1">
      <alignment vertical="center" wrapText="1"/>
    </xf>
    <xf numFmtId="166" fontId="54" fillId="0" borderId="0" xfId="0" applyNumberFormat="1" applyFont="1"/>
    <xf numFmtId="0" fontId="6" fillId="0" borderId="0" xfId="1" applyAlignment="1">
      <alignment horizontal="left" indent="2"/>
    </xf>
    <xf numFmtId="0" fontId="0" fillId="0" borderId="0" xfId="0" applyAlignment="1">
      <alignment horizontal="center"/>
    </xf>
    <xf numFmtId="0" fontId="11" fillId="0" borderId="0" xfId="0" applyFont="1" applyAlignment="1">
      <alignment horizontal="center"/>
    </xf>
    <xf numFmtId="0" fontId="12" fillId="0" borderId="0" xfId="0" applyFont="1" applyAlignment="1">
      <alignment horizontal="right"/>
    </xf>
    <xf numFmtId="0" fontId="22" fillId="0" borderId="0" xfId="0" applyFont="1" applyAlignment="1">
      <alignment horizontal="right"/>
    </xf>
    <xf numFmtId="0" fontId="0" fillId="0" borderId="0" xfId="0" applyAlignment="1">
      <alignment horizontal="center"/>
    </xf>
    <xf numFmtId="0" fontId="16" fillId="0" borderId="0" xfId="0" applyFont="1" applyAlignment="1">
      <alignment horizontal="center" wrapText="1"/>
    </xf>
    <xf numFmtId="0" fontId="12" fillId="0" borderId="0" xfId="0" applyFont="1" applyAlignment="1">
      <alignment horizontal="left" vertical="center" wrapText="1"/>
    </xf>
    <xf numFmtId="166" fontId="11" fillId="0" borderId="0" xfId="0" applyNumberFormat="1" applyFont="1" applyAlignment="1">
      <alignment horizontal="center"/>
    </xf>
    <xf numFmtId="0" fontId="0" fillId="0" borderId="0" xfId="0" applyFill="1" applyAlignment="1">
      <alignment horizontal="center"/>
    </xf>
    <xf numFmtId="0" fontId="0" fillId="0" borderId="0" xfId="1" applyFont="1" applyAlignment="1">
      <alignment vertical="top"/>
    </xf>
    <xf numFmtId="0" fontId="0" fillId="2" borderId="0" xfId="0" applyFill="1" applyAlignment="1">
      <alignment horizontal="center" vertical="center" wrapText="1"/>
    </xf>
    <xf numFmtId="17" fontId="0" fillId="2" borderId="0" xfId="0" applyNumberFormat="1" applyFill="1" applyAlignment="1">
      <alignment horizontal="center" vertical="center" wrapText="1"/>
    </xf>
    <xf numFmtId="0" fontId="12" fillId="2" borderId="0" xfId="0" applyFont="1" applyFill="1"/>
    <xf numFmtId="0" fontId="9" fillId="2" borderId="0" xfId="4" applyFill="1" applyAlignment="1" applyProtection="1">
      <alignment vertical="center"/>
    </xf>
    <xf numFmtId="0" fontId="0" fillId="2" borderId="0" xfId="0" applyFill="1"/>
    <xf numFmtId="0" fontId="0" fillId="2" borderId="0" xfId="0" applyFill="1" applyAlignment="1">
      <alignment wrapText="1"/>
    </xf>
    <xf numFmtId="0" fontId="10"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protection locked="0"/>
    </xf>
    <xf numFmtId="0" fontId="11" fillId="2" borderId="0" xfId="0" applyFont="1" applyFill="1"/>
    <xf numFmtId="0" fontId="0" fillId="2" borderId="0" xfId="0" applyFill="1" applyAlignment="1">
      <alignment horizontal="center"/>
    </xf>
    <xf numFmtId="0" fontId="12" fillId="2" borderId="0" xfId="0" applyFont="1" applyFill="1" applyAlignment="1">
      <alignment vertical="center" wrapText="1"/>
    </xf>
    <xf numFmtId="0" fontId="16" fillId="2" borderId="0" xfId="0" applyFont="1" applyFill="1" applyAlignment="1">
      <alignment horizontal="right"/>
    </xf>
    <xf numFmtId="0" fontId="16" fillId="2" borderId="0" xfId="0" applyFont="1" applyFill="1" applyAlignment="1">
      <alignment horizontal="right" wrapText="1"/>
    </xf>
    <xf numFmtId="0" fontId="1" fillId="2" borderId="0" xfId="0" applyFont="1" applyFill="1" applyAlignment="1">
      <alignment horizontal="right"/>
    </xf>
    <xf numFmtId="167" fontId="0" fillId="2" borderId="0" xfId="0" applyNumberFormat="1" applyFill="1" applyAlignment="1">
      <alignment horizontal="right"/>
    </xf>
    <xf numFmtId="168" fontId="0" fillId="2" borderId="0" xfId="0" applyNumberFormat="1" applyFill="1" applyAlignment="1">
      <alignment horizontal="right"/>
    </xf>
    <xf numFmtId="165" fontId="0" fillId="2" borderId="0" xfId="0" applyNumberFormat="1" applyFill="1" applyAlignment="1">
      <alignment horizontal="center" vertical="center" wrapText="1"/>
    </xf>
    <xf numFmtId="0" fontId="17" fillId="2" borderId="0" xfId="0" applyFont="1" applyFill="1" applyAlignment="1">
      <alignment horizontal="right"/>
    </xf>
    <xf numFmtId="165" fontId="0" fillId="2" borderId="0" xfId="0" applyNumberFormat="1" applyFill="1"/>
    <xf numFmtId="165" fontId="19" fillId="2" borderId="0" xfId="0" applyNumberFormat="1" applyFont="1" applyFill="1"/>
    <xf numFmtId="165" fontId="18" fillId="2" borderId="0" xfId="0" applyNumberFormat="1" applyFont="1" applyFill="1" applyAlignment="1" applyProtection="1">
      <alignment vertical="center"/>
      <protection locked="0"/>
    </xf>
    <xf numFmtId="0" fontId="18" fillId="2" borderId="0" xfId="0" applyFont="1" applyFill="1" applyAlignment="1" applyProtection="1">
      <alignment vertical="center"/>
      <protection locked="0"/>
    </xf>
    <xf numFmtId="2" fontId="18" fillId="2" borderId="0" xfId="0" applyNumberFormat="1" applyFont="1" applyFill="1" applyAlignment="1" applyProtection="1">
      <alignment vertical="center"/>
      <protection locked="0"/>
    </xf>
    <xf numFmtId="0" fontId="13" fillId="2" borderId="0" xfId="1" applyFont="1" applyFill="1"/>
    <xf numFmtId="0" fontId="55" fillId="0" borderId="0" xfId="0" applyFont="1" applyAlignment="1">
      <alignment horizontal="right"/>
    </xf>
    <xf numFmtId="0" fontId="40" fillId="0" borderId="0" xfId="0" applyFont="1" applyAlignment="1">
      <alignment horizontal="right"/>
    </xf>
    <xf numFmtId="165" fontId="0" fillId="0" borderId="0" xfId="0" applyNumberFormat="1" applyFont="1" applyAlignment="1">
      <alignment horizontal="right"/>
    </xf>
    <xf numFmtId="0" fontId="18" fillId="2" borderId="0" xfId="10" applyFont="1" applyFill="1" applyAlignment="1">
      <alignment vertical="center"/>
    </xf>
    <xf numFmtId="0" fontId="18" fillId="2" borderId="13" xfId="10" applyFont="1" applyFill="1" applyBorder="1" applyAlignment="1">
      <alignment vertical="center"/>
    </xf>
    <xf numFmtId="0" fontId="29" fillId="2" borderId="0" xfId="10" applyFont="1" applyFill="1" applyAlignment="1">
      <alignment horizontal="left" vertical="center" indent="1"/>
    </xf>
    <xf numFmtId="0" fontId="18" fillId="2" borderId="0" xfId="10" applyFont="1" applyFill="1" applyAlignment="1">
      <alignment horizontal="left" indent="1"/>
    </xf>
    <xf numFmtId="0" fontId="18" fillId="2" borderId="0" xfId="11" applyFont="1" applyFill="1"/>
    <xf numFmtId="0" fontId="18" fillId="2" borderId="0" xfId="10" applyFont="1" applyFill="1" applyAlignment="1">
      <alignment horizontal="left" indent="2"/>
    </xf>
    <xf numFmtId="0" fontId="18" fillId="2" borderId="0" xfId="10" applyFont="1" applyFill="1" applyAlignment="1">
      <alignment horizontal="right" vertical="center"/>
    </xf>
    <xf numFmtId="0" fontId="56" fillId="2" borderId="0" xfId="10" applyFont="1" applyFill="1" applyAlignment="1">
      <alignment vertical="center"/>
    </xf>
    <xf numFmtId="0" fontId="18" fillId="2" borderId="0" xfId="10" applyFont="1" applyFill="1" applyAlignment="1">
      <alignment horizontal="left" vertical="center" indent="2"/>
    </xf>
    <xf numFmtId="0" fontId="29" fillId="2" borderId="13" xfId="10" applyFont="1" applyFill="1" applyBorder="1" applyAlignment="1">
      <alignment horizontal="left" vertical="center" indent="1"/>
    </xf>
    <xf numFmtId="0" fontId="18" fillId="2" borderId="13" xfId="10" applyFont="1" applyFill="1" applyBorder="1" applyAlignment="1">
      <alignment horizontal="left" indent="1"/>
    </xf>
    <xf numFmtId="0" fontId="18" fillId="2" borderId="1" xfId="10" applyFont="1" applyFill="1" applyBorder="1" applyAlignment="1">
      <alignment vertical="center"/>
    </xf>
    <xf numFmtId="0" fontId="56" fillId="2" borderId="7" xfId="10" applyFont="1" applyFill="1" applyBorder="1" applyAlignment="1">
      <alignment vertical="center"/>
    </xf>
    <xf numFmtId="0" fontId="58" fillId="2" borderId="0" xfId="10" applyFont="1" applyFill="1" applyAlignment="1">
      <alignment vertical="center"/>
    </xf>
    <xf numFmtId="3" fontId="56" fillId="2" borderId="0" xfId="11" applyNumberFormat="1" applyFont="1" applyFill="1" applyAlignment="1">
      <alignment vertical="center"/>
    </xf>
    <xf numFmtId="3" fontId="56" fillId="2" borderId="13" xfId="11" applyNumberFormat="1" applyFont="1" applyFill="1" applyBorder="1" applyAlignment="1">
      <alignment vertical="center"/>
    </xf>
    <xf numFmtId="3" fontId="18" fillId="2" borderId="0" xfId="11" applyNumberFormat="1" applyFont="1" applyFill="1" applyAlignment="1">
      <alignment vertical="center"/>
    </xf>
    <xf numFmtId="3" fontId="18" fillId="2" borderId="0" xfId="11" applyNumberFormat="1" applyFont="1" applyFill="1"/>
    <xf numFmtId="3" fontId="18" fillId="2" borderId="1" xfId="11" applyNumberFormat="1" applyFont="1" applyFill="1" applyBorder="1"/>
    <xf numFmtId="3" fontId="29" fillId="2" borderId="0" xfId="11" applyNumberFormat="1" applyFont="1" applyFill="1" applyAlignment="1">
      <alignment vertical="center"/>
    </xf>
    <xf numFmtId="3" fontId="18" fillId="2" borderId="1" xfId="11" applyNumberFormat="1" applyFont="1" applyFill="1" applyBorder="1" applyAlignment="1">
      <alignment vertical="center"/>
    </xf>
    <xf numFmtId="3" fontId="18" fillId="2" borderId="13" xfId="11" applyNumberFormat="1" applyFont="1" applyFill="1" applyBorder="1" applyAlignment="1">
      <alignment vertical="center"/>
    </xf>
    <xf numFmtId="3" fontId="56" fillId="2" borderId="0" xfId="11" applyNumberFormat="1" applyFont="1" applyFill="1"/>
    <xf numFmtId="170" fontId="18" fillId="2" borderId="0" xfId="11" applyNumberFormat="1" applyFont="1" applyFill="1" applyAlignment="1">
      <alignment horizontal="right"/>
    </xf>
    <xf numFmtId="3" fontId="18" fillId="2" borderId="13" xfId="11" applyNumberFormat="1" applyFont="1" applyFill="1" applyBorder="1"/>
    <xf numFmtId="0" fontId="29" fillId="2" borderId="0" xfId="10" applyFont="1" applyFill="1" applyAlignment="1">
      <alignment vertical="center"/>
    </xf>
    <xf numFmtId="0" fontId="29" fillId="2" borderId="13" xfId="10" applyFont="1" applyFill="1" applyBorder="1" applyAlignment="1">
      <alignment vertical="center"/>
    </xf>
    <xf numFmtId="0" fontId="29" fillId="2" borderId="0" xfId="10" applyFont="1" applyFill="1" applyAlignment="1">
      <alignment horizontal="left" indent="1"/>
    </xf>
    <xf numFmtId="0" fontId="29" fillId="2" borderId="0" xfId="10" applyFont="1" applyFill="1" applyAlignment="1">
      <alignment horizontal="right" vertical="center"/>
    </xf>
    <xf numFmtId="0" fontId="29" fillId="2" borderId="0" xfId="10" applyFont="1" applyFill="1" applyAlignment="1">
      <alignment horizontal="left" indent="2"/>
    </xf>
    <xf numFmtId="0" fontId="29" fillId="2" borderId="0" xfId="10" applyFont="1" applyFill="1" applyAlignment="1">
      <alignment horizontal="left" vertical="center" indent="2"/>
    </xf>
    <xf numFmtId="0" fontId="29" fillId="2" borderId="13" xfId="10" applyFont="1" applyFill="1" applyBorder="1" applyAlignment="1">
      <alignment horizontal="left" indent="1"/>
    </xf>
    <xf numFmtId="0" fontId="29" fillId="2" borderId="1" xfId="10" applyFont="1" applyFill="1" applyBorder="1" applyAlignment="1">
      <alignment vertical="center"/>
    </xf>
    <xf numFmtId="0" fontId="11" fillId="0" borderId="1" xfId="0" applyFont="1" applyBorder="1" applyAlignment="1">
      <alignment horizontal="right"/>
    </xf>
    <xf numFmtId="0" fontId="58" fillId="2" borderId="7" xfId="10" applyFont="1" applyFill="1" applyBorder="1" applyAlignment="1">
      <alignment vertical="center" wrapText="1"/>
    </xf>
    <xf numFmtId="0" fontId="41" fillId="2" borderId="0" xfId="10" applyFont="1" applyFill="1" applyAlignment="1">
      <alignment vertical="center"/>
    </xf>
    <xf numFmtId="0" fontId="42" fillId="2" borderId="0" xfId="10" applyFont="1" applyFill="1" applyAlignment="1">
      <alignment vertical="center"/>
    </xf>
    <xf numFmtId="0" fontId="0" fillId="0" borderId="0" xfId="0" applyAlignment="1">
      <alignment vertical="center" wrapText="1"/>
    </xf>
    <xf numFmtId="0" fontId="11" fillId="0" borderId="0" xfId="0" applyFont="1" applyAlignment="1">
      <alignment vertical="center" wrapText="1"/>
    </xf>
    <xf numFmtId="0" fontId="6" fillId="2" borderId="0" xfId="10" applyFill="1"/>
    <xf numFmtId="0" fontId="52" fillId="2" borderId="0" xfId="10" applyFont="1" applyFill="1"/>
    <xf numFmtId="3" fontId="12" fillId="0" borderId="0" xfId="0" applyNumberFormat="1" applyFont="1"/>
    <xf numFmtId="0" fontId="12" fillId="0" borderId="0" xfId="0" applyFont="1" applyAlignment="1">
      <alignment horizontal="center"/>
    </xf>
    <xf numFmtId="170" fontId="0" fillId="0" borderId="0" xfId="0" applyNumberFormat="1"/>
    <xf numFmtId="0" fontId="0" fillId="0" borderId="0" xfId="0" applyAlignment="1">
      <alignment horizontal="right" wrapText="1"/>
    </xf>
    <xf numFmtId="0" fontId="0" fillId="0" borderId="0" xfId="0" applyAlignment="1">
      <alignment horizontal="right" vertical="center" wrapText="1"/>
    </xf>
    <xf numFmtId="0" fontId="11" fillId="0" borderId="0" xfId="0" applyFont="1" applyAlignment="1">
      <alignment horizontal="right" vertical="center" wrapText="1"/>
    </xf>
    <xf numFmtId="165" fontId="0" fillId="0" borderId="0" xfId="0" applyNumberFormat="1" applyAlignment="1">
      <alignment horizontal="right" wrapText="1"/>
    </xf>
    <xf numFmtId="165" fontId="6" fillId="0" borderId="0" xfId="1" applyNumberFormat="1" applyAlignment="1">
      <alignment horizontal="right"/>
    </xf>
    <xf numFmtId="165" fontId="17" fillId="0" borderId="0" xfId="0" applyNumberFormat="1" applyFont="1" applyAlignment="1">
      <alignment horizontal="right"/>
    </xf>
    <xf numFmtId="0" fontId="2" fillId="0" borderId="0" xfId="12"/>
    <xf numFmtId="0" fontId="2" fillId="0" borderId="0" xfId="12" applyAlignment="1">
      <alignment horizontal="center"/>
    </xf>
    <xf numFmtId="0" fontId="2" fillId="0" borderId="0" xfId="12" applyAlignment="1">
      <alignment horizontal="center" wrapText="1"/>
    </xf>
    <xf numFmtId="0" fontId="1" fillId="0" borderId="0" xfId="0" applyFont="1" applyAlignment="1">
      <alignment horizontal="right" wrapText="1"/>
    </xf>
    <xf numFmtId="0" fontId="0" fillId="0" borderId="0" xfId="0" applyAlignment="1">
      <alignment horizontal="center"/>
    </xf>
    <xf numFmtId="0" fontId="11" fillId="0" borderId="0" xfId="0" applyFont="1" applyAlignment="1">
      <alignment horizontal="center"/>
    </xf>
    <xf numFmtId="0" fontId="26" fillId="0" borderId="1" xfId="7" applyBorder="1" applyAlignment="1">
      <alignment horizontal="center"/>
    </xf>
    <xf numFmtId="0" fontId="26" fillId="0" borderId="0" xfId="7" applyBorder="1" applyAlignment="1">
      <alignment horizontal="center"/>
    </xf>
    <xf numFmtId="0" fontId="30" fillId="0" borderId="0" xfId="7" applyFont="1" applyBorder="1" applyAlignment="1">
      <alignment horizontal="center"/>
    </xf>
    <xf numFmtId="0" fontId="30" fillId="0" borderId="6" xfId="7" applyFont="1" applyBorder="1" applyAlignment="1">
      <alignment horizontal="center"/>
    </xf>
    <xf numFmtId="165" fontId="26" fillId="0" borderId="0" xfId="7" applyNumberFormat="1" applyFont="1" applyBorder="1" applyAlignment="1">
      <alignment horizontal="center"/>
    </xf>
    <xf numFmtId="0" fontId="26" fillId="0" borderId="1" xfId="7" applyFont="1" applyBorder="1" applyAlignment="1">
      <alignment horizontal="center"/>
    </xf>
    <xf numFmtId="0" fontId="26" fillId="0" borderId="8" xfId="7" applyFont="1" applyBorder="1" applyAlignment="1">
      <alignment horizontal="center"/>
    </xf>
    <xf numFmtId="165" fontId="26" fillId="0" borderId="6" xfId="7" applyNumberFormat="1" applyFont="1" applyBorder="1" applyAlignment="1">
      <alignment horizontal="center"/>
    </xf>
    <xf numFmtId="0" fontId="7" fillId="2" borderId="0" xfId="1" applyFont="1" applyFill="1" applyAlignment="1">
      <alignment horizontal="left" vertical="top" wrapText="1"/>
    </xf>
    <xf numFmtId="0" fontId="0" fillId="0" borderId="0" xfId="0" applyAlignment="1">
      <alignment horizontal="center"/>
    </xf>
    <xf numFmtId="0" fontId="2" fillId="0" borderId="0" xfId="1" applyFont="1" applyAlignment="1">
      <alignment horizontal="center" vertical="top" wrapText="1"/>
    </xf>
    <xf numFmtId="0" fontId="11" fillId="0" borderId="0" xfId="0" applyFont="1" applyAlignment="1">
      <alignment horizontal="center"/>
    </xf>
    <xf numFmtId="0" fontId="11" fillId="0" borderId="0" xfId="1" applyFont="1" applyAlignment="1">
      <alignment horizontal="center" vertical="top" wrapText="1"/>
    </xf>
    <xf numFmtId="0" fontId="1" fillId="0" borderId="0" xfId="0" applyFont="1" applyAlignment="1">
      <alignment horizontal="center"/>
    </xf>
    <xf numFmtId="0" fontId="17" fillId="0" borderId="0" xfId="0" applyFont="1" applyAlignment="1">
      <alignment horizontal="center"/>
    </xf>
    <xf numFmtId="0" fontId="0" fillId="2" borderId="0" xfId="0" applyFill="1" applyAlignment="1">
      <alignment horizontal="center" wrapText="1"/>
    </xf>
    <xf numFmtId="0" fontId="16" fillId="2" borderId="0" xfId="0" applyFont="1" applyFill="1" applyAlignment="1">
      <alignment horizontal="center" wrapText="1"/>
    </xf>
    <xf numFmtId="0" fontId="16" fillId="0" borderId="0" xfId="0" applyFont="1" applyAlignment="1">
      <alignment horizontal="center"/>
    </xf>
    <xf numFmtId="0" fontId="0" fillId="0" borderId="1" xfId="1" applyFont="1" applyBorder="1" applyAlignment="1">
      <alignment horizontal="center" vertical="center"/>
    </xf>
    <xf numFmtId="0" fontId="0" fillId="0" borderId="2" xfId="1" applyFont="1" applyBorder="1" applyAlignment="1">
      <alignment horizontal="center" vertical="center" wrapText="1"/>
    </xf>
    <xf numFmtId="0" fontId="0" fillId="0" borderId="1" xfId="1" applyFont="1" applyBorder="1" applyAlignment="1">
      <alignment horizontal="center" vertical="center" wrapText="1"/>
    </xf>
    <xf numFmtId="0" fontId="11" fillId="0" borderId="1" xfId="1" applyFont="1" applyBorder="1" applyAlignment="1">
      <alignment horizontal="center" vertical="center"/>
    </xf>
    <xf numFmtId="0" fontId="11" fillId="0" borderId="2" xfId="1" applyFont="1" applyBorder="1" applyAlignment="1">
      <alignment horizontal="center" vertical="center" wrapText="1"/>
    </xf>
    <xf numFmtId="0" fontId="11" fillId="0" borderId="1" xfId="1"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wrapText="1"/>
    </xf>
    <xf numFmtId="0" fontId="26" fillId="2" borderId="0" xfId="9" applyFont="1" applyFill="1" applyBorder="1" applyAlignment="1">
      <alignment horizontal="left" vertical="center"/>
    </xf>
    <xf numFmtId="0" fontId="44" fillId="2" borderId="0" xfId="9" applyFont="1" applyFill="1" applyBorder="1" applyAlignment="1">
      <alignment horizontal="left" vertical="center"/>
    </xf>
    <xf numFmtId="0" fontId="47" fillId="2" borderId="0" xfId="9" applyFont="1" applyFill="1" applyBorder="1" applyAlignment="1">
      <alignment horizontal="left" vertical="center"/>
    </xf>
    <xf numFmtId="0" fontId="12" fillId="0" borderId="0" xfId="0" applyFont="1" applyAlignment="1">
      <alignment horizontal="center" vertical="center"/>
    </xf>
    <xf numFmtId="0" fontId="22" fillId="0" borderId="0" xfId="0" applyFont="1" applyAlignment="1">
      <alignment horizontal="center" vertical="center"/>
    </xf>
    <xf numFmtId="0" fontId="11" fillId="0" borderId="0" xfId="6" applyFont="1" applyAlignment="1">
      <alignment horizontal="center" vertical="center"/>
    </xf>
    <xf numFmtId="0" fontId="2" fillId="0" borderId="0" xfId="6" applyFont="1" applyAlignment="1">
      <alignment horizontal="center" vertical="center"/>
    </xf>
    <xf numFmtId="0" fontId="27" fillId="0" borderId="0" xfId="0" applyFont="1" applyAlignment="1">
      <alignment horizontal="center"/>
    </xf>
    <xf numFmtId="0" fontId="38" fillId="0" borderId="0" xfId="0" applyFont="1" applyAlignment="1">
      <alignment horizontal="center"/>
    </xf>
    <xf numFmtId="0" fontId="0" fillId="0" borderId="0" xfId="0" applyAlignment="1">
      <alignment horizontal="left" wrapText="1"/>
    </xf>
    <xf numFmtId="0" fontId="11" fillId="0" borderId="0" xfId="0" applyFont="1" applyAlignment="1">
      <alignment horizontal="left" wrapText="1"/>
    </xf>
    <xf numFmtId="0" fontId="18" fillId="0" borderId="0" xfId="0" applyFont="1" applyAlignment="1">
      <alignment horizontal="left" vertical="center" wrapText="1"/>
    </xf>
    <xf numFmtId="0" fontId="0" fillId="0" borderId="0" xfId="0" applyAlignment="1">
      <alignment horizontal="left" vertical="center" wrapText="1"/>
    </xf>
    <xf numFmtId="0" fontId="11" fillId="0" borderId="0" xfId="0" applyFont="1" applyAlignment="1">
      <alignment horizontal="left" vertical="center" wrapText="1"/>
    </xf>
    <xf numFmtId="0" fontId="26" fillId="0" borderId="1" xfId="7" applyBorder="1" applyAlignment="1">
      <alignment horizontal="center"/>
    </xf>
    <xf numFmtId="0" fontId="26" fillId="0" borderId="2" xfId="7" applyBorder="1" applyAlignment="1">
      <alignment horizontal="center"/>
    </xf>
    <xf numFmtId="0" fontId="26" fillId="0" borderId="8" xfId="7" applyBorder="1" applyAlignment="1">
      <alignment horizontal="center"/>
    </xf>
    <xf numFmtId="0" fontId="22" fillId="0" borderId="0" xfId="0" applyFont="1" applyFill="1" applyAlignment="1">
      <alignment horizontal="left"/>
    </xf>
    <xf numFmtId="0" fontId="11" fillId="0" borderId="0"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11" fillId="0" borderId="0" xfId="0" applyFont="1" applyAlignment="1">
      <alignment horizontal="center" vertical="center" wrapText="1"/>
    </xf>
    <xf numFmtId="0" fontId="26" fillId="0" borderId="0" xfId="7" applyBorder="1" applyAlignment="1">
      <alignment horizontal="center"/>
    </xf>
    <xf numFmtId="0" fontId="30" fillId="0" borderId="0" xfId="7" applyFont="1" applyBorder="1" applyAlignment="1">
      <alignment horizontal="center"/>
    </xf>
    <xf numFmtId="0" fontId="30" fillId="0" borderId="6" xfId="7" applyFont="1" applyBorder="1" applyAlignment="1">
      <alignment horizontal="center"/>
    </xf>
    <xf numFmtId="0" fontId="26" fillId="0" borderId="6" xfId="7" applyBorder="1" applyAlignment="1">
      <alignment horizontal="center"/>
    </xf>
    <xf numFmtId="0" fontId="1" fillId="0" borderId="0" xfId="0" applyFont="1" applyBorder="1" applyAlignment="1">
      <alignment horizontal="center"/>
    </xf>
    <xf numFmtId="0" fontId="1" fillId="0" borderId="6" xfId="0" applyFont="1" applyBorder="1" applyAlignment="1">
      <alignment horizontal="center"/>
    </xf>
    <xf numFmtId="0" fontId="17" fillId="0" borderId="0" xfId="0" applyFont="1" applyBorder="1" applyAlignment="1">
      <alignment horizontal="center"/>
    </xf>
    <xf numFmtId="0" fontId="17" fillId="0" borderId="6" xfId="0" applyFont="1" applyBorder="1" applyAlignment="1">
      <alignment horizontal="center"/>
    </xf>
    <xf numFmtId="0" fontId="0" fillId="0" borderId="1" xfId="0" applyBorder="1" applyAlignment="1">
      <alignment horizontal="center"/>
    </xf>
    <xf numFmtId="0" fontId="11" fillId="0" borderId="1" xfId="0" applyFont="1" applyFill="1" applyBorder="1" applyAlignment="1">
      <alignment horizontal="center"/>
    </xf>
  </cellXfs>
  <cellStyles count="13">
    <cellStyle name="Hyperlink" xfId="2" builtinId="8"/>
    <cellStyle name="Hyperlink 2" xfId="3" xr:uid="{77CABBE2-6437-488C-AB12-E380E42369D4}"/>
    <cellStyle name="Hyperlink 2 2" xfId="4" xr:uid="{5E9DFC81-A6E0-419B-915B-78FBEBF348DE}"/>
    <cellStyle name="Normal" xfId="0" builtinId="0"/>
    <cellStyle name="Normal 10 2" xfId="10" xr:uid="{F2E3A28E-DA67-4E07-B515-B398CA19080F}"/>
    <cellStyle name="Normal 2" xfId="7" xr:uid="{214C0DD0-2525-499F-81DE-0EBE221D411E}"/>
    <cellStyle name="Normal 2 2 2" xfId="1" xr:uid="{147C0E19-E0F6-4BBB-A9CA-684EC9212E6A}"/>
    <cellStyle name="Normal 2 3" xfId="11" xr:uid="{AF8D3040-FB92-4CBD-BC90-4FB92B40B033}"/>
    <cellStyle name="Normal 2 5" xfId="9" xr:uid="{7DF145E1-C06F-4C00-8C98-C1DB67BF3129}"/>
    <cellStyle name="Normal 3" xfId="5" xr:uid="{D11CC503-A45E-4E62-92BF-6124169D8DE3}"/>
    <cellStyle name="Normal 3 2" xfId="12" xr:uid="{7109562A-2973-488E-B5A7-E3D904CF3023}"/>
    <cellStyle name="Normal 4" xfId="6" xr:uid="{920170AA-D1D3-4EDD-AF3A-E34314C606B4}"/>
    <cellStyle name="Normal_Sheet1" xfId="8" xr:uid="{32F60607-9845-4411-ABCA-9F0E5E0A9D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drawing34.xml.rels><?xml version="1.0" encoding="UTF-8" standalone="yes"?>
<Relationships xmlns="http://schemas.openxmlformats.org/package/2006/relationships"><Relationship Id="rId1" Type="http://schemas.openxmlformats.org/officeDocument/2006/relationships/image" Target="../media/image5.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12</xdr:col>
      <xdr:colOff>62593</xdr:colOff>
      <xdr:row>51</xdr:row>
      <xdr:rowOff>16329</xdr:rowOff>
    </xdr:to>
    <xdr:grpSp>
      <xdr:nvGrpSpPr>
        <xdr:cNvPr id="2" name="Group 1">
          <a:extLst>
            <a:ext uri="{FF2B5EF4-FFF2-40B4-BE49-F238E27FC236}">
              <a16:creationId xmlns:a16="http://schemas.microsoft.com/office/drawing/2014/main" id="{611C50F4-4DCC-4D04-B6A8-2B0890B8E0EB}"/>
            </a:ext>
          </a:extLst>
        </xdr:cNvPr>
        <xdr:cNvGrpSpPr/>
      </xdr:nvGrpSpPr>
      <xdr:grpSpPr>
        <a:xfrm>
          <a:off x="152400" y="152400"/>
          <a:ext cx="7162800" cy="9579429"/>
          <a:chOff x="0" y="0"/>
          <a:chExt cx="7000875" cy="10197578"/>
        </a:xfrm>
      </xdr:grpSpPr>
      <xdr:pic>
        <xdr:nvPicPr>
          <xdr:cNvPr id="3" name="Picture 2">
            <a:extLst>
              <a:ext uri="{FF2B5EF4-FFF2-40B4-BE49-F238E27FC236}">
                <a16:creationId xmlns:a16="http://schemas.microsoft.com/office/drawing/2014/main" id="{C8A0243A-8D63-4729-B380-72852B7052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000875" cy="10197578"/>
          </a:xfrm>
          <a:prstGeom prst="rect">
            <a:avLst/>
          </a:prstGeom>
        </xdr:spPr>
      </xdr:pic>
      <xdr:sp macro="" textlink="">
        <xdr:nvSpPr>
          <xdr:cNvPr id="4" name="TextBox 3">
            <a:extLst>
              <a:ext uri="{FF2B5EF4-FFF2-40B4-BE49-F238E27FC236}">
                <a16:creationId xmlns:a16="http://schemas.microsoft.com/office/drawing/2014/main" id="{1A3530E9-EB7B-4207-B2A2-11CE25CDB9D5}"/>
              </a:ext>
            </a:extLst>
          </xdr:cNvPr>
          <xdr:cNvSpPr txBox="1"/>
        </xdr:nvSpPr>
        <xdr:spPr>
          <a:xfrm>
            <a:off x="404486" y="3906773"/>
            <a:ext cx="5681071" cy="1220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pt-PT" sz="2300" b="0" i="0" u="none" strike="noStrike" kern="0" cap="all" spc="100" normalizeH="0" baseline="0" noProof="0">
                <a:ln>
                  <a:noFill/>
                </a:ln>
                <a:solidFill>
                  <a:schemeClr val="bg1"/>
                </a:solidFill>
                <a:effectLst/>
                <a:uLnTx/>
                <a:uFillTx/>
                <a:latin typeface="Open Sans Light" panose="020B0306030504020204" pitchFamily="34" charset="0"/>
                <a:ea typeface="Open Sans Light" panose="020B0306030504020204" pitchFamily="34" charset="0"/>
                <a:cs typeface="Open Sans Light" panose="020B0306030504020204" pitchFamily="34" charset="0"/>
              </a:rPr>
              <a:t>Jun/Jun. 2024</a:t>
            </a:r>
            <a:endParaRPr kumimoji="0" lang="pt-PT" sz="1600" b="0" i="0" u="none" strike="noStrike" kern="0" cap="all" spc="100" normalizeH="0" baseline="0" noProof="0">
              <a:ln>
                <a:noFill/>
              </a:ln>
              <a:solidFill>
                <a:schemeClr val="bg1"/>
              </a:solidFill>
              <a:effectLst/>
              <a:uLnTx/>
              <a:uFillTx/>
              <a:latin typeface="Open Sans Light" panose="020B0306030504020204" pitchFamily="34" charset="0"/>
              <a:ea typeface="Open Sans Light" panose="020B0306030504020204" pitchFamily="34" charset="0"/>
              <a:cs typeface="Open Sans Light" panose="020B0306030504020204" pitchFamily="34" charset="0"/>
            </a:endParaRPr>
          </a:p>
        </xdr:txBody>
      </xdr:sp>
      <xdr:sp macro="" textlink="">
        <xdr:nvSpPr>
          <xdr:cNvPr id="5" name="TextBox 4">
            <a:extLst>
              <a:ext uri="{FF2B5EF4-FFF2-40B4-BE49-F238E27FC236}">
                <a16:creationId xmlns:a16="http://schemas.microsoft.com/office/drawing/2014/main" id="{23467572-46C8-417C-ABD0-23CAD75FDFDF}"/>
              </a:ext>
            </a:extLst>
          </xdr:cNvPr>
          <xdr:cNvSpPr txBox="1"/>
        </xdr:nvSpPr>
        <xdr:spPr>
          <a:xfrm>
            <a:off x="428299" y="1318154"/>
            <a:ext cx="5679284" cy="177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noAutofit/>
          </a:bodyPr>
          <a:lstStyle/>
          <a:p>
            <a:pPr marL="0" marR="0" lvl="0" indent="0" algn="r" defTabSz="914400" eaLnBrk="1" fontAlgn="auto" latinLnBrk="0" hangingPunct="1">
              <a:lnSpc>
                <a:spcPct val="90000"/>
              </a:lnSpc>
              <a:spcBef>
                <a:spcPts val="0"/>
              </a:spcBef>
              <a:spcAft>
                <a:spcPts val="0"/>
              </a:spcAft>
              <a:buClrTx/>
              <a:buSzTx/>
              <a:buFontTx/>
              <a:buNone/>
              <a:tabLst/>
              <a:defRPr/>
            </a:pPr>
            <a:r>
              <a:rPr kumimoji="0" lang="pt-PT" sz="3000" b="0" i="0" u="none" strike="noStrike" kern="0" cap="all" spc="130" normalizeH="0" baseline="0" noProof="0">
                <a:ln>
                  <a:noFill/>
                </a:ln>
                <a:solidFill>
                  <a:schemeClr val="tx1"/>
                </a:solidFill>
                <a:effectLst/>
                <a:uLnTx/>
                <a:uFillTx/>
                <a:latin typeface="Open Sans Light" panose="020B0306030504020204" pitchFamily="34" charset="0"/>
                <a:ea typeface="Open Sans Light" panose="020B0306030504020204" pitchFamily="34" charset="0"/>
                <a:cs typeface="Open Sans Light" panose="020B0306030504020204" pitchFamily="34" charset="0"/>
              </a:rPr>
              <a:t>BOLETIM</a:t>
            </a:r>
          </a:p>
          <a:p>
            <a:pPr marL="0" marR="0" lvl="0" indent="0" algn="r" defTabSz="914400" eaLnBrk="1" fontAlgn="auto" latinLnBrk="0" hangingPunct="1">
              <a:lnSpc>
                <a:spcPct val="90000"/>
              </a:lnSpc>
              <a:spcBef>
                <a:spcPts val="0"/>
              </a:spcBef>
              <a:spcAft>
                <a:spcPts val="0"/>
              </a:spcAft>
              <a:buClrTx/>
              <a:buSzTx/>
              <a:buFontTx/>
              <a:buNone/>
              <a:tabLst/>
              <a:defRPr/>
            </a:pPr>
            <a:r>
              <a:rPr kumimoji="0" lang="pt-PT" sz="3000" b="0" i="0" u="none" strike="noStrike" kern="0" cap="all" spc="130" normalizeH="0" baseline="0" noProof="0">
                <a:ln>
                  <a:noFill/>
                </a:ln>
                <a:solidFill>
                  <a:schemeClr val="tx1"/>
                </a:solidFill>
                <a:effectLst/>
                <a:uLnTx/>
                <a:uFillTx/>
                <a:latin typeface="Open Sans Light" panose="020B0306030504020204" pitchFamily="34" charset="0"/>
                <a:ea typeface="Open Sans Light" panose="020B0306030504020204" pitchFamily="34" charset="0"/>
                <a:cs typeface="Open Sans Light" panose="020B0306030504020204" pitchFamily="34" charset="0"/>
              </a:rPr>
              <a:t>ECONÓMICO</a:t>
            </a:r>
          </a:p>
          <a:p>
            <a:pPr marL="0" marR="0" lvl="0" indent="0" algn="r" defTabSz="914400" eaLnBrk="1" fontAlgn="auto" latinLnBrk="0" hangingPunct="1">
              <a:lnSpc>
                <a:spcPct val="90000"/>
              </a:lnSpc>
              <a:spcBef>
                <a:spcPts val="0"/>
              </a:spcBef>
              <a:spcAft>
                <a:spcPts val="0"/>
              </a:spcAft>
              <a:buClrTx/>
              <a:buSzTx/>
              <a:buFontTx/>
              <a:buNone/>
              <a:tabLst/>
              <a:defRPr/>
            </a:pPr>
            <a:r>
              <a:rPr kumimoji="0" lang="pt-PT" sz="3000" b="0" i="0" u="none" strike="noStrike" kern="0" cap="none" spc="130" normalizeH="0" baseline="0" noProof="0">
                <a:ln>
                  <a:noFill/>
                </a:ln>
                <a:solidFill>
                  <a:schemeClr val="tx1"/>
                </a:solidFill>
                <a:effectLst/>
                <a:uLnTx/>
                <a:uFillTx/>
                <a:latin typeface="Open Sans Light" panose="020B0306030504020204" pitchFamily="34" charset="0"/>
                <a:ea typeface="Open Sans Light" panose="020B0306030504020204" pitchFamily="34" charset="0"/>
                <a:cs typeface="Open Sans Light" panose="020B0306030504020204" pitchFamily="34" charset="0"/>
              </a:rPr>
              <a:t>Economic Bulletin</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2476500</xdr:colOff>
      <xdr:row>3</xdr:row>
      <xdr:rowOff>68444</xdr:rowOff>
    </xdr:to>
    <xdr:pic>
      <xdr:nvPicPr>
        <xdr:cNvPr id="2" name="Picture 1" descr="Assinatura E.jpg">
          <a:extLst>
            <a:ext uri="{FF2B5EF4-FFF2-40B4-BE49-F238E27FC236}">
              <a16:creationId xmlns:a16="http://schemas.microsoft.com/office/drawing/2014/main" id="{A83DC09E-1156-4611-A84E-7A09628B3CD8}"/>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0"/>
          <a:ext cx="2476500" cy="63994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F7DA6885-3C1C-4B0B-AE44-4D592F8B0CD8}"/>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87CC713E-4DD2-4840-834A-A93F226870A7}"/>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F23A7620-04BB-42D5-8504-5B3FCE4BECD4}"/>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A63940F4-9E73-40D8-842B-76C1BCFC8944}"/>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AF4367A9-2C75-4A54-8FAC-9D2D3B40C93C}"/>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D6126D19-3669-4A78-8D85-FF10D4ABC534}"/>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5C79069E-5C83-4011-BE6D-8B861B325F0C}"/>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FEC1CD08-E1F0-401A-9CA8-820A0D5EA791}"/>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8EA3F29D-7AFB-4A46-A5E8-E6F2DC43FB7A}"/>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242342DF-79EC-4362-8A34-4E21B45F3E6A}"/>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91D546B2-EC51-4D46-ACC5-2F7E971CB9AC}"/>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478763C5-45B9-4312-A0A0-355476C9B5F1}"/>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3E549E58-0EFC-4CE3-9392-6250FBB734BF}"/>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226E937B-EC29-405B-ABE9-A38F922ED358}"/>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twoCellAnchor editAs="oneCell">
    <xdr:from>
      <xdr:col>1</xdr:col>
      <xdr:colOff>0</xdr:colOff>
      <xdr:row>26</xdr:row>
      <xdr:rowOff>0</xdr:rowOff>
    </xdr:from>
    <xdr:to>
      <xdr:col>4</xdr:col>
      <xdr:colOff>514350</xdr:colOff>
      <xdr:row>27</xdr:row>
      <xdr:rowOff>17645</xdr:rowOff>
    </xdr:to>
    <xdr:pic>
      <xdr:nvPicPr>
        <xdr:cNvPr id="5" name="Picture 4">
          <a:extLst>
            <a:ext uri="{FF2B5EF4-FFF2-40B4-BE49-F238E27FC236}">
              <a16:creationId xmlns:a16="http://schemas.microsoft.com/office/drawing/2014/main" id="{01B07E1D-0EB1-417C-8104-81F30B437DA1}"/>
            </a:ext>
          </a:extLst>
        </xdr:cNvPr>
        <xdr:cNvPicPr>
          <a:picLocks noChangeAspect="1"/>
        </xdr:cNvPicPr>
      </xdr:nvPicPr>
      <xdr:blipFill>
        <a:blip xmlns:r="http://schemas.openxmlformats.org/officeDocument/2006/relationships" r:embed="rId2"/>
        <a:stretch>
          <a:fillRect/>
        </a:stretch>
      </xdr:blipFill>
      <xdr:spPr>
        <a:xfrm>
          <a:off x="1200150" y="4714875"/>
          <a:ext cx="4981575" cy="874895"/>
        </a:xfrm>
        <a:prstGeom prst="rect">
          <a:avLst/>
        </a:prstGeom>
      </xdr:spPr>
    </xdr:pic>
    <xdr:clientData/>
  </xdr:twoCellAnchor>
  <xdr:twoCellAnchor editAs="oneCell">
    <xdr:from>
      <xdr:col>1</xdr:col>
      <xdr:colOff>742950</xdr:colOff>
      <xdr:row>29</xdr:row>
      <xdr:rowOff>171450</xdr:rowOff>
    </xdr:from>
    <xdr:to>
      <xdr:col>3</xdr:col>
      <xdr:colOff>2084525</xdr:colOff>
      <xdr:row>30</xdr:row>
      <xdr:rowOff>840510</xdr:rowOff>
    </xdr:to>
    <xdr:pic>
      <xdr:nvPicPr>
        <xdr:cNvPr id="10" name="Picture 9">
          <a:extLst>
            <a:ext uri="{FF2B5EF4-FFF2-40B4-BE49-F238E27FC236}">
              <a16:creationId xmlns:a16="http://schemas.microsoft.com/office/drawing/2014/main" id="{5A880D73-F2A8-4A8B-B867-1B736BEAC940}"/>
            </a:ext>
          </a:extLst>
        </xdr:cNvPr>
        <xdr:cNvPicPr>
          <a:picLocks noChangeAspect="1"/>
        </xdr:cNvPicPr>
      </xdr:nvPicPr>
      <xdr:blipFill>
        <a:blip xmlns:r="http://schemas.openxmlformats.org/officeDocument/2006/relationships" r:embed="rId3"/>
        <a:stretch>
          <a:fillRect/>
        </a:stretch>
      </xdr:blipFill>
      <xdr:spPr>
        <a:xfrm>
          <a:off x="1943100" y="7362825"/>
          <a:ext cx="3637100" cy="8748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3</xdr:col>
      <xdr:colOff>1409404</xdr:colOff>
      <xdr:row>3</xdr:row>
      <xdr:rowOff>86538</xdr:rowOff>
    </xdr:to>
    <xdr:pic>
      <xdr:nvPicPr>
        <xdr:cNvPr id="2" name="Picture 1">
          <a:extLst>
            <a:ext uri="{FF2B5EF4-FFF2-40B4-BE49-F238E27FC236}">
              <a16:creationId xmlns:a16="http://schemas.microsoft.com/office/drawing/2014/main" id="{BF5C921F-F6F3-411C-849A-841BA95FE4D6}"/>
            </a:ext>
          </a:extLst>
        </xdr:cNvPr>
        <xdr:cNvPicPr>
          <a:picLocks noChangeAspect="1"/>
        </xdr:cNvPicPr>
      </xdr:nvPicPr>
      <xdr:blipFill>
        <a:blip xmlns:r="http://schemas.openxmlformats.org/officeDocument/2006/relationships" r:embed="rId1"/>
        <a:stretch>
          <a:fillRect/>
        </a:stretch>
      </xdr:blipFill>
      <xdr:spPr>
        <a:xfrm>
          <a:off x="95250" y="66675"/>
          <a:ext cx="2552404" cy="57231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AE542040-8392-42F4-9868-66B3938F8D04}"/>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27DAD6B0-4EF7-4932-947E-0BED41468FB0}"/>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4BAC6B17-5C71-43D7-AA47-A2B863CFEA74}"/>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85725</xdr:colOff>
      <xdr:row>0</xdr:row>
      <xdr:rowOff>38100</xdr:rowOff>
    </xdr:from>
    <xdr:ext cx="2447924" cy="591725"/>
    <xdr:pic>
      <xdr:nvPicPr>
        <xdr:cNvPr id="2" name="Picture 1" descr="Logotipo cor PT.jpg">
          <a:extLst>
            <a:ext uri="{FF2B5EF4-FFF2-40B4-BE49-F238E27FC236}">
              <a16:creationId xmlns:a16="http://schemas.microsoft.com/office/drawing/2014/main" id="{61925DEA-E451-4CB7-9836-89956B31C360}"/>
            </a:ext>
          </a:extLst>
        </xdr:cNvPr>
        <xdr:cNvPicPr>
          <a:picLocks noChangeAspect="1"/>
        </xdr:cNvPicPr>
      </xdr:nvPicPr>
      <xdr:blipFill>
        <a:blip xmlns:r="http://schemas.openxmlformats.org/officeDocument/2006/relationships" r:embed="rId1" cstate="print"/>
        <a:stretch>
          <a:fillRect/>
        </a:stretch>
      </xdr:blipFill>
      <xdr:spPr>
        <a:xfrm>
          <a:off x="85725" y="38100"/>
          <a:ext cx="2447924" cy="591725"/>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1149508</xdr:colOff>
      <xdr:row>3</xdr:row>
      <xdr:rowOff>19863</xdr:rowOff>
    </xdr:to>
    <xdr:pic>
      <xdr:nvPicPr>
        <xdr:cNvPr id="4" name="Picture 3">
          <a:extLst>
            <a:ext uri="{FF2B5EF4-FFF2-40B4-BE49-F238E27FC236}">
              <a16:creationId xmlns:a16="http://schemas.microsoft.com/office/drawing/2014/main" id="{65459F39-A265-4BAD-A956-CCA1545ACDFC}"/>
            </a:ext>
          </a:extLst>
        </xdr:cNvPr>
        <xdr:cNvPicPr>
          <a:picLocks noChangeAspect="1"/>
        </xdr:cNvPicPr>
      </xdr:nvPicPr>
      <xdr:blipFill>
        <a:blip xmlns:r="http://schemas.openxmlformats.org/officeDocument/2006/relationships" r:embed="rId1"/>
        <a:stretch>
          <a:fillRect/>
        </a:stretch>
      </xdr:blipFill>
      <xdr:spPr>
        <a:xfrm>
          <a:off x="0" y="0"/>
          <a:ext cx="2523829" cy="59136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730408</xdr:colOff>
      <xdr:row>3</xdr:row>
      <xdr:rowOff>19863</xdr:rowOff>
    </xdr:to>
    <xdr:pic>
      <xdr:nvPicPr>
        <xdr:cNvPr id="2" name="Picture 1">
          <a:extLst>
            <a:ext uri="{FF2B5EF4-FFF2-40B4-BE49-F238E27FC236}">
              <a16:creationId xmlns:a16="http://schemas.microsoft.com/office/drawing/2014/main" id="{84AF5397-73FB-440A-BF8C-9571FA934D88}"/>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2551588</xdr:colOff>
      <xdr:row>3</xdr:row>
      <xdr:rowOff>19863</xdr:rowOff>
    </xdr:to>
    <xdr:pic>
      <xdr:nvPicPr>
        <xdr:cNvPr id="2" name="Picture 1">
          <a:extLst>
            <a:ext uri="{FF2B5EF4-FFF2-40B4-BE49-F238E27FC236}">
              <a16:creationId xmlns:a16="http://schemas.microsoft.com/office/drawing/2014/main" id="{C9E265A1-696F-49E6-8E22-843B0971D50F}"/>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730408</xdr:colOff>
      <xdr:row>3</xdr:row>
      <xdr:rowOff>19863</xdr:rowOff>
    </xdr:to>
    <xdr:pic>
      <xdr:nvPicPr>
        <xdr:cNvPr id="2" name="Picture 1">
          <a:extLst>
            <a:ext uri="{FF2B5EF4-FFF2-40B4-BE49-F238E27FC236}">
              <a16:creationId xmlns:a16="http://schemas.microsoft.com/office/drawing/2014/main" id="{3996E0A2-8E49-4232-8EFA-61122C76D7A3}"/>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730408</xdr:colOff>
      <xdr:row>3</xdr:row>
      <xdr:rowOff>19863</xdr:rowOff>
    </xdr:to>
    <xdr:pic>
      <xdr:nvPicPr>
        <xdr:cNvPr id="2" name="Picture 1">
          <a:extLst>
            <a:ext uri="{FF2B5EF4-FFF2-40B4-BE49-F238E27FC236}">
              <a16:creationId xmlns:a16="http://schemas.microsoft.com/office/drawing/2014/main" id="{1C444FE6-E9F3-4D86-BAC7-D3B0BC135BA1}"/>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2559208</xdr:colOff>
      <xdr:row>3</xdr:row>
      <xdr:rowOff>19863</xdr:rowOff>
    </xdr:to>
    <xdr:pic>
      <xdr:nvPicPr>
        <xdr:cNvPr id="2" name="Picture 1">
          <a:extLst>
            <a:ext uri="{FF2B5EF4-FFF2-40B4-BE49-F238E27FC236}">
              <a16:creationId xmlns:a16="http://schemas.microsoft.com/office/drawing/2014/main" id="{8665B928-0689-4CB2-A355-D88264AA85BD}"/>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2559208</xdr:colOff>
      <xdr:row>3</xdr:row>
      <xdr:rowOff>19863</xdr:rowOff>
    </xdr:to>
    <xdr:pic>
      <xdr:nvPicPr>
        <xdr:cNvPr id="2" name="Picture 1">
          <a:extLst>
            <a:ext uri="{FF2B5EF4-FFF2-40B4-BE49-F238E27FC236}">
              <a16:creationId xmlns:a16="http://schemas.microsoft.com/office/drawing/2014/main" id="{1B95A82D-DB26-420F-94E0-A7254D819FB5}"/>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1149508</xdr:colOff>
      <xdr:row>3</xdr:row>
      <xdr:rowOff>19863</xdr:rowOff>
    </xdr:to>
    <xdr:pic>
      <xdr:nvPicPr>
        <xdr:cNvPr id="2" name="Picture 1">
          <a:extLst>
            <a:ext uri="{FF2B5EF4-FFF2-40B4-BE49-F238E27FC236}">
              <a16:creationId xmlns:a16="http://schemas.microsoft.com/office/drawing/2014/main" id="{263E3240-1442-4A25-9FE0-DE94D8FB9089}"/>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2559208</xdr:colOff>
      <xdr:row>3</xdr:row>
      <xdr:rowOff>19863</xdr:rowOff>
    </xdr:to>
    <xdr:pic>
      <xdr:nvPicPr>
        <xdr:cNvPr id="2" name="Picture 1">
          <a:extLst>
            <a:ext uri="{FF2B5EF4-FFF2-40B4-BE49-F238E27FC236}">
              <a16:creationId xmlns:a16="http://schemas.microsoft.com/office/drawing/2014/main" id="{7D94439A-5F72-4FDA-9E81-D1B9117713FB}"/>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410368</xdr:colOff>
      <xdr:row>3</xdr:row>
      <xdr:rowOff>19863</xdr:rowOff>
    </xdr:to>
    <xdr:pic>
      <xdr:nvPicPr>
        <xdr:cNvPr id="2" name="Picture 1">
          <a:extLst>
            <a:ext uri="{FF2B5EF4-FFF2-40B4-BE49-F238E27FC236}">
              <a16:creationId xmlns:a16="http://schemas.microsoft.com/office/drawing/2014/main" id="{2698CAE1-A782-4F3B-9CF5-C6B284947E24}"/>
            </a:ext>
          </a:extLst>
        </xdr:cNvPr>
        <xdr:cNvPicPr>
          <a:picLocks noChangeAspect="1"/>
        </xdr:cNvPicPr>
      </xdr:nvPicPr>
      <xdr:blipFill>
        <a:blip xmlns:r="http://schemas.openxmlformats.org/officeDocument/2006/relationships" r:embed="rId1"/>
        <a:stretch>
          <a:fillRect/>
        </a:stretch>
      </xdr:blipFill>
      <xdr:spPr>
        <a:xfrm>
          <a:off x="0" y="0"/>
          <a:ext cx="2521108" cy="568503"/>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2559208</xdr:colOff>
      <xdr:row>3</xdr:row>
      <xdr:rowOff>19863</xdr:rowOff>
    </xdr:to>
    <xdr:pic>
      <xdr:nvPicPr>
        <xdr:cNvPr id="2" name="Picture 1">
          <a:extLst>
            <a:ext uri="{FF2B5EF4-FFF2-40B4-BE49-F238E27FC236}">
              <a16:creationId xmlns:a16="http://schemas.microsoft.com/office/drawing/2014/main" id="{B98543E5-AFD6-4C04-A06F-60B117B10CEC}"/>
            </a:ext>
          </a:extLst>
        </xdr:cNvPr>
        <xdr:cNvPicPr>
          <a:picLocks noChangeAspect="1"/>
        </xdr:cNvPicPr>
      </xdr:nvPicPr>
      <xdr:blipFill>
        <a:blip xmlns:r="http://schemas.openxmlformats.org/officeDocument/2006/relationships" r:embed="rId1"/>
        <a:stretch>
          <a:fillRect/>
        </a:stretch>
      </xdr:blipFill>
      <xdr:spPr>
        <a:xfrm>
          <a:off x="0" y="0"/>
          <a:ext cx="2559208" cy="568503"/>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2521108</xdr:colOff>
      <xdr:row>3</xdr:row>
      <xdr:rowOff>19863</xdr:rowOff>
    </xdr:to>
    <xdr:pic>
      <xdr:nvPicPr>
        <xdr:cNvPr id="2" name="Picture 1">
          <a:extLst>
            <a:ext uri="{FF2B5EF4-FFF2-40B4-BE49-F238E27FC236}">
              <a16:creationId xmlns:a16="http://schemas.microsoft.com/office/drawing/2014/main" id="{BF63625E-84DD-4682-A9F5-E735CAB28DFD}"/>
            </a:ext>
          </a:extLst>
        </xdr:cNvPr>
        <xdr:cNvPicPr>
          <a:picLocks noChangeAspect="1"/>
        </xdr:cNvPicPr>
      </xdr:nvPicPr>
      <xdr:blipFill>
        <a:blip xmlns:r="http://schemas.openxmlformats.org/officeDocument/2006/relationships" r:embed="rId1"/>
        <a:stretch>
          <a:fillRect/>
        </a:stretch>
      </xdr:blipFill>
      <xdr:spPr>
        <a:xfrm>
          <a:off x="0" y="0"/>
          <a:ext cx="2521108" cy="591363"/>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2521108</xdr:colOff>
      <xdr:row>3</xdr:row>
      <xdr:rowOff>19863</xdr:rowOff>
    </xdr:to>
    <xdr:pic>
      <xdr:nvPicPr>
        <xdr:cNvPr id="2" name="Picture 1">
          <a:extLst>
            <a:ext uri="{FF2B5EF4-FFF2-40B4-BE49-F238E27FC236}">
              <a16:creationId xmlns:a16="http://schemas.microsoft.com/office/drawing/2014/main" id="{81D92FEC-5F1E-48FD-90E1-CF876BCFE7FD}"/>
            </a:ext>
          </a:extLst>
        </xdr:cNvPr>
        <xdr:cNvPicPr>
          <a:picLocks noChangeAspect="1"/>
        </xdr:cNvPicPr>
      </xdr:nvPicPr>
      <xdr:blipFill>
        <a:blip xmlns:r="http://schemas.openxmlformats.org/officeDocument/2006/relationships" r:embed="rId1"/>
        <a:stretch>
          <a:fillRect/>
        </a:stretch>
      </xdr:blipFill>
      <xdr:spPr>
        <a:xfrm>
          <a:off x="0" y="0"/>
          <a:ext cx="2521108" cy="591363"/>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2521108</xdr:colOff>
      <xdr:row>3</xdr:row>
      <xdr:rowOff>19863</xdr:rowOff>
    </xdr:to>
    <xdr:pic>
      <xdr:nvPicPr>
        <xdr:cNvPr id="2" name="Picture 1">
          <a:extLst>
            <a:ext uri="{FF2B5EF4-FFF2-40B4-BE49-F238E27FC236}">
              <a16:creationId xmlns:a16="http://schemas.microsoft.com/office/drawing/2014/main" id="{FB95AFE1-3CE3-473B-A8C3-7C8683E2BCA8}"/>
            </a:ext>
          </a:extLst>
        </xdr:cNvPr>
        <xdr:cNvPicPr>
          <a:picLocks noChangeAspect="1"/>
        </xdr:cNvPicPr>
      </xdr:nvPicPr>
      <xdr:blipFill>
        <a:blip xmlns:r="http://schemas.openxmlformats.org/officeDocument/2006/relationships" r:embed="rId1"/>
        <a:stretch>
          <a:fillRect/>
        </a:stretch>
      </xdr:blipFill>
      <xdr:spPr>
        <a:xfrm>
          <a:off x="0" y="0"/>
          <a:ext cx="2521108" cy="59136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410368</xdr:colOff>
      <xdr:row>3</xdr:row>
      <xdr:rowOff>19863</xdr:rowOff>
    </xdr:to>
    <xdr:pic>
      <xdr:nvPicPr>
        <xdr:cNvPr id="2" name="Picture 1">
          <a:extLst>
            <a:ext uri="{FF2B5EF4-FFF2-40B4-BE49-F238E27FC236}">
              <a16:creationId xmlns:a16="http://schemas.microsoft.com/office/drawing/2014/main" id="{92AAD55B-0082-44F0-AE5D-3DD23B2CECE8}"/>
            </a:ext>
          </a:extLst>
        </xdr:cNvPr>
        <xdr:cNvPicPr>
          <a:picLocks noChangeAspect="1"/>
        </xdr:cNvPicPr>
      </xdr:nvPicPr>
      <xdr:blipFill>
        <a:blip xmlns:r="http://schemas.openxmlformats.org/officeDocument/2006/relationships" r:embed="rId1"/>
        <a:stretch>
          <a:fillRect/>
        </a:stretch>
      </xdr:blipFill>
      <xdr:spPr>
        <a:xfrm>
          <a:off x="0" y="0"/>
          <a:ext cx="2521108" cy="591363"/>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753268</xdr:colOff>
      <xdr:row>3</xdr:row>
      <xdr:rowOff>19863</xdr:rowOff>
    </xdr:to>
    <xdr:pic>
      <xdr:nvPicPr>
        <xdr:cNvPr id="2" name="Picture 1">
          <a:extLst>
            <a:ext uri="{FF2B5EF4-FFF2-40B4-BE49-F238E27FC236}">
              <a16:creationId xmlns:a16="http://schemas.microsoft.com/office/drawing/2014/main" id="{CB5FEE06-71BE-4B98-9C57-2AE22EB284FA}"/>
            </a:ext>
          </a:extLst>
        </xdr:cNvPr>
        <xdr:cNvPicPr>
          <a:picLocks noChangeAspect="1"/>
        </xdr:cNvPicPr>
      </xdr:nvPicPr>
      <xdr:blipFill>
        <a:blip xmlns:r="http://schemas.openxmlformats.org/officeDocument/2006/relationships" r:embed="rId1"/>
        <a:stretch>
          <a:fillRect/>
        </a:stretch>
      </xdr:blipFill>
      <xdr:spPr>
        <a:xfrm>
          <a:off x="0" y="0"/>
          <a:ext cx="2521108" cy="591363"/>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753268</xdr:colOff>
      <xdr:row>3</xdr:row>
      <xdr:rowOff>19863</xdr:rowOff>
    </xdr:to>
    <xdr:pic>
      <xdr:nvPicPr>
        <xdr:cNvPr id="2" name="Picture 1">
          <a:extLst>
            <a:ext uri="{FF2B5EF4-FFF2-40B4-BE49-F238E27FC236}">
              <a16:creationId xmlns:a16="http://schemas.microsoft.com/office/drawing/2014/main" id="{90F10FEA-C214-4A1A-AA7F-7F62C4214422}"/>
            </a:ext>
          </a:extLst>
        </xdr:cNvPr>
        <xdr:cNvPicPr>
          <a:picLocks noChangeAspect="1"/>
        </xdr:cNvPicPr>
      </xdr:nvPicPr>
      <xdr:blipFill>
        <a:blip xmlns:r="http://schemas.openxmlformats.org/officeDocument/2006/relationships" r:embed="rId1"/>
        <a:stretch>
          <a:fillRect/>
        </a:stretch>
      </xdr:blipFill>
      <xdr:spPr>
        <a:xfrm>
          <a:off x="0" y="0"/>
          <a:ext cx="2521108" cy="568503"/>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1096168</xdr:colOff>
      <xdr:row>3</xdr:row>
      <xdr:rowOff>19863</xdr:rowOff>
    </xdr:to>
    <xdr:pic>
      <xdr:nvPicPr>
        <xdr:cNvPr id="2" name="Picture 1">
          <a:extLst>
            <a:ext uri="{FF2B5EF4-FFF2-40B4-BE49-F238E27FC236}">
              <a16:creationId xmlns:a16="http://schemas.microsoft.com/office/drawing/2014/main" id="{8BE98B65-04BF-4031-8BC1-158FB71657F5}"/>
            </a:ext>
          </a:extLst>
        </xdr:cNvPr>
        <xdr:cNvPicPr>
          <a:picLocks noChangeAspect="1"/>
        </xdr:cNvPicPr>
      </xdr:nvPicPr>
      <xdr:blipFill>
        <a:blip xmlns:r="http://schemas.openxmlformats.org/officeDocument/2006/relationships" r:embed="rId1"/>
        <a:stretch>
          <a:fillRect/>
        </a:stretch>
      </xdr:blipFill>
      <xdr:spPr>
        <a:xfrm>
          <a:off x="0" y="0"/>
          <a:ext cx="2521108" cy="568503"/>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92394E01-E9A7-4288-8107-8E3DE625E232}"/>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38135024-8729-4F3F-BFC6-091A16F8CACE}"/>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B971DA4D-7E6D-4567-9FC2-AB8A80EB0E3B}"/>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77196994-7C0A-41BD-94B0-FF835FDCB83D}"/>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BCB2354D-5123-4F75-9684-1C14EB478335}"/>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21BEF5C3-8A58-457C-9630-124B3D0A4351}"/>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79CCC29C-A5E1-42B8-B017-35498757F011}"/>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785566FA-8986-4C77-BCC7-B2B0463FD991}"/>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956C4113-2F23-440E-A45D-ABB60A155443}"/>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85208210-5525-493D-8096-457F4D9D4B18}"/>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4E9F993B-D30C-4383-B81F-C3A7544F8CDE}"/>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F0A305CF-951C-416C-861E-CD0DA03AEFF1}"/>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E23A72DC-4F78-4F5C-829F-B54245FB84F4}"/>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38AB4470-B44F-422B-9863-CACE3DB0210C}"/>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1A2E51B1-6800-4237-A9F2-3000F86C2572}"/>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EA445833-2B45-4C65-BFC5-1D1134ADCF15}"/>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9CECADF2-9CDB-4C18-B8AB-4AE071C96AEF}"/>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5D4C641A-B512-4676-868E-9BED928D3C80}"/>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00961F19-1503-4C9D-B643-4A56D2CFB68D}"/>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72389078-2702-424A-9077-C81ECCC598C5}"/>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E7A8E216-8D92-49D2-BF56-ADD599AB5C6D}"/>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F68F5C82-1E9A-48B7-B6DD-D61C97EF57D9}"/>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665828D6-9A8D-445D-A1FF-71B201AEFF2F}"/>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4377B369-48EB-4720-821A-53A2DBDAF362}"/>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9B249CFC-FD87-4D9A-B3AC-2E0A3A3C4204}"/>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01D1B5FB-7027-4982-B363-61F0456B6BA1}"/>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oneCellAnchor>
    <xdr:from>
      <xdr:col>0</xdr:col>
      <xdr:colOff>0</xdr:colOff>
      <xdr:row>0</xdr:row>
      <xdr:rowOff>0</xdr:rowOff>
    </xdr:from>
    <xdr:ext cx="2447924" cy="629826"/>
    <xdr:pic>
      <xdr:nvPicPr>
        <xdr:cNvPr id="2" name="Picture 1" descr="Logotipo cor PT.jpg">
          <a:extLst>
            <a:ext uri="{FF2B5EF4-FFF2-40B4-BE49-F238E27FC236}">
              <a16:creationId xmlns:a16="http://schemas.microsoft.com/office/drawing/2014/main" id="{57BCD39E-8120-414F-9475-8F20D191880D}"/>
            </a:ext>
          </a:extLst>
        </xdr:cNvPr>
        <xdr:cNvPicPr>
          <a:picLocks noChangeAspect="1"/>
        </xdr:cNvPicPr>
      </xdr:nvPicPr>
      <xdr:blipFill>
        <a:blip xmlns:r="http://schemas.openxmlformats.org/officeDocument/2006/relationships" r:embed="rId1" cstate="print"/>
        <a:stretch>
          <a:fillRect/>
        </a:stretch>
      </xdr:blipFill>
      <xdr:spPr>
        <a:xfrm>
          <a:off x="0" y="0"/>
          <a:ext cx="2447924" cy="629826"/>
        </a:xfrm>
        <a:prstGeom prst="rect">
          <a:avLst/>
        </a:prstGeom>
      </xdr:spPr>
    </xdr:pic>
    <xdr:clientData/>
  </xdr:oneCellAnchor>
</xdr:wsDr>
</file>

<file path=xl/theme/theme1.xml><?xml version="1.0" encoding="utf-8"?>
<a:theme xmlns:a="http://schemas.openxmlformats.org/drawingml/2006/main" name="Office Theme">
  <a:themeElements>
    <a:clrScheme name="ColorsBP2018">
      <a:dk1>
        <a:sysClr val="windowText" lastClr="000000"/>
      </a:dk1>
      <a:lt1>
        <a:sysClr val="window" lastClr="FFFFFF"/>
      </a:lt1>
      <a:dk2>
        <a:srgbClr val="002C44"/>
      </a:dk2>
      <a:lt2>
        <a:srgbClr val="EEECE1"/>
      </a:lt2>
      <a:accent1>
        <a:srgbClr val="F2C851"/>
      </a:accent1>
      <a:accent2>
        <a:srgbClr val="003365"/>
      </a:accent2>
      <a:accent3>
        <a:srgbClr val="ED1A3B"/>
      </a:accent3>
      <a:accent4>
        <a:srgbClr val="3A8640"/>
      </a:accent4>
      <a:accent5>
        <a:srgbClr val="F58232"/>
      </a:accent5>
      <a:accent6>
        <a:srgbClr val="696969"/>
      </a:accent6>
      <a:hlink>
        <a:srgbClr val="832326"/>
      </a:hlink>
      <a:folHlink>
        <a:srgbClr val="B66113"/>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9757-9DB6-4463-9D87-74F58E3394A6}">
  <sheetPr codeName="Sheet1"/>
  <dimension ref="A53:L55"/>
  <sheetViews>
    <sheetView showGridLines="0" showRowColHeaders="0" tabSelected="1" zoomScale="75" zoomScaleNormal="75" workbookViewId="0">
      <selection sqref="A1:XFD1048576"/>
    </sheetView>
  </sheetViews>
  <sheetFormatPr defaultColWidth="0" defaultRowHeight="15" x14ac:dyDescent="0.25"/>
  <cols>
    <col min="1" max="12" width="9.140625" customWidth="1"/>
    <col min="13" max="16384" width="9.140625" hidden="1"/>
  </cols>
  <sheetData>
    <row r="53" spans="1:12" ht="409.5" customHeight="1" x14ac:dyDescent="0.25">
      <c r="A53" s="416" t="s">
        <v>178</v>
      </c>
      <c r="B53" s="416"/>
      <c r="C53" s="416"/>
      <c r="D53" s="416"/>
      <c r="E53" s="416"/>
      <c r="F53" s="416"/>
      <c r="G53" s="416"/>
      <c r="H53" s="416"/>
      <c r="I53" s="416"/>
      <c r="J53" s="416"/>
      <c r="K53" s="416"/>
      <c r="L53" s="416"/>
    </row>
    <row r="54" spans="1:12" x14ac:dyDescent="0.25">
      <c r="A54" s="416"/>
      <c r="B54" s="416"/>
      <c r="C54" s="416"/>
      <c r="D54" s="416"/>
      <c r="E54" s="416"/>
      <c r="F54" s="416"/>
      <c r="G54" s="416"/>
      <c r="H54" s="416"/>
      <c r="I54" s="416"/>
      <c r="J54" s="416"/>
      <c r="K54" s="416"/>
      <c r="L54" s="416"/>
    </row>
    <row r="55" spans="1:12" x14ac:dyDescent="0.25">
      <c r="A55" s="416"/>
      <c r="B55" s="416"/>
      <c r="C55" s="416"/>
      <c r="D55" s="416"/>
      <c r="E55" s="416"/>
      <c r="F55" s="416"/>
      <c r="G55" s="416"/>
      <c r="H55" s="416"/>
      <c r="I55" s="416"/>
      <c r="J55" s="416"/>
      <c r="K55" s="416"/>
      <c r="L55" s="416"/>
    </row>
  </sheetData>
  <sheetProtection algorithmName="SHA-512" hashValue="RSixjJzeoWrbdAO65qqiotKmLL8qnvU7qyGe7YFoUijSY3/T8udaP+6w7DI0qrRxnF/G4TXvOyINQhMa/Uwu2A==" saltValue="NHThiMTY3w62IiTJTLvYSA==" spinCount="100000" sheet="1" objects="1" scenarios="1"/>
  <mergeCells count="1">
    <mergeCell ref="A53:L55"/>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1B67-08DD-4A6E-92F0-A92B439CDA03}">
  <sheetPr codeName="Sheet2"/>
  <dimension ref="A1:C159"/>
  <sheetViews>
    <sheetView showGridLines="0" showRowColHeaders="0" workbookViewId="0">
      <selection activeCell="A99" sqref="A99"/>
    </sheetView>
  </sheetViews>
  <sheetFormatPr defaultRowHeight="15" x14ac:dyDescent="0.25"/>
  <cols>
    <col min="1" max="1" width="214.140625" customWidth="1"/>
    <col min="2" max="2" width="39.42578125" customWidth="1"/>
    <col min="3" max="3" width="9.140625" hidden="1" customWidth="1"/>
  </cols>
  <sheetData>
    <row r="1" spans="1:3" x14ac:dyDescent="0.25">
      <c r="A1" s="329"/>
      <c r="B1" s="5" t="s">
        <v>1</v>
      </c>
    </row>
    <row r="2" spans="1:3" x14ac:dyDescent="0.25">
      <c r="A2" s="329"/>
    </row>
    <row r="3" spans="1:3" x14ac:dyDescent="0.25">
      <c r="A3" s="329"/>
    </row>
    <row r="4" spans="1:3" x14ac:dyDescent="0.25">
      <c r="A4" s="329"/>
    </row>
    <row r="5" spans="1:3" x14ac:dyDescent="0.25">
      <c r="A5" s="1" t="s">
        <v>181</v>
      </c>
    </row>
    <row r="6" spans="1:3" x14ac:dyDescent="0.25">
      <c r="A6" s="2" t="s">
        <v>0</v>
      </c>
    </row>
    <row r="7" spans="1:3" ht="35.25" customHeight="1" x14ac:dyDescent="0.25">
      <c r="A7" s="3" t="s">
        <v>182</v>
      </c>
    </row>
    <row r="8" spans="1:3" ht="15" customHeight="1" x14ac:dyDescent="0.25">
      <c r="A8" s="4" t="str">
        <f t="shared" ref="A8:A39" ca="1" si="0">HYPERLINK("#"&amp;C8,INDIRECT(C8))</f>
        <v>Quadro I.1.1 • Projeções do Banco de Portugal para 2024-26 | Taxa de variação anual, em percentagem (exceto onde indicado)</v>
      </c>
      <c r="C8" t="s">
        <v>154</v>
      </c>
    </row>
    <row r="9" spans="1:3" ht="15" customHeight="1" x14ac:dyDescent="0.25">
      <c r="A9" s="4" t="str">
        <f t="shared" ca="1" si="0"/>
        <v>Table I.1.1 • Projections of Banco de Portugal for 2024-26| Annual rate of change, in percentage (unless otherwise stated)</v>
      </c>
      <c r="C9" t="s">
        <v>155</v>
      </c>
    </row>
    <row r="10" spans="1:3" ht="15" customHeight="1" x14ac:dyDescent="0.25">
      <c r="A10" s="4" t="str">
        <f t="shared" ca="1" si="0"/>
        <v xml:space="preserve">Gráfico I.1.1 • PIB em Portugal e na área do euro </v>
      </c>
      <c r="C10" t="s">
        <v>130</v>
      </c>
    </row>
    <row r="11" spans="1:3" ht="15" customHeight="1" x14ac:dyDescent="0.25">
      <c r="A11" s="4" t="str">
        <f t="shared" ca="1" si="0"/>
        <v xml:space="preserve">Chart I.1.1 • GDP in Portugal and the euro area </v>
      </c>
      <c r="C11" t="s">
        <v>142</v>
      </c>
    </row>
    <row r="12" spans="1:3" ht="15" customHeight="1" x14ac:dyDescent="0.25">
      <c r="A12" s="4" t="str">
        <f t="shared" ca="1" si="0"/>
        <v>Gráfico I.1.2 • Projeções trimestrais para o PIB e para a inflação</v>
      </c>
      <c r="C12" t="s">
        <v>131</v>
      </c>
    </row>
    <row r="13" spans="1:3" ht="15" customHeight="1" x14ac:dyDescent="0.25">
      <c r="A13" s="4" t="str">
        <f t="shared" ca="1" si="0"/>
        <v>Chart I.1.2 • Quarterly GDP and inflation projections</v>
      </c>
      <c r="C13" t="s">
        <v>143</v>
      </c>
    </row>
    <row r="14" spans="1:3" ht="15" customHeight="1" x14ac:dyDescent="0.25">
      <c r="A14" s="4" t="str">
        <f t="shared" ca="1" si="0"/>
        <v>Gráfico I.1.3 • Taxa de variação do PIB e contributos líquidos de conteúdos importados das componentes | Percentagem e pontos percentuais</v>
      </c>
      <c r="C14" t="s">
        <v>132</v>
      </c>
    </row>
    <row r="15" spans="1:3" ht="15" customHeight="1" x14ac:dyDescent="0.25">
      <c r="A15" s="4" t="str">
        <f t="shared" ca="1" si="0"/>
        <v>Chart I.1.3 • GDP rate of change and import-content net contributions of components | Percentage and percentage points</v>
      </c>
      <c r="C15" t="s">
        <v>144</v>
      </c>
    </row>
    <row r="16" spans="1:3" ht="15" customHeight="1" x14ac:dyDescent="0.25">
      <c r="A16" s="4" t="str">
        <f t="shared" ca="1" si="0"/>
        <v>Gráfico I.1.4 • Consumo privado e rendimento disponível | Taxa de variação em percentagem e contributos para o rendimento disponível em pontos percentuais</v>
      </c>
      <c r="C16" t="s">
        <v>133</v>
      </c>
    </row>
    <row r="17" spans="1:3" ht="15" customHeight="1" x14ac:dyDescent="0.25">
      <c r="A17" s="4" t="str">
        <f t="shared" ca="1" si="0"/>
        <v>Chart I.1.4 • Private consumption and disposable income | Rate of change in percentage and contributions to disposable income in percentage points</v>
      </c>
      <c r="C17" t="s">
        <v>145</v>
      </c>
    </row>
    <row r="18" spans="1:3" ht="15" customHeight="1" x14ac:dyDescent="0.25">
      <c r="A18" s="4" t="str">
        <f t="shared" ca="1" si="0"/>
        <v>Gráfico I.1.5 • FBCF e componentes| Taxa de variação em percentagem</v>
      </c>
      <c r="C18" t="s">
        <v>134</v>
      </c>
    </row>
    <row r="19" spans="1:3" ht="15" customHeight="1" x14ac:dyDescent="0.25">
      <c r="A19" s="4" t="str">
        <f t="shared" ca="1" si="0"/>
        <v>Chart I.1.5 • GFCF and components| Rate of change in percentage</v>
      </c>
      <c r="C19" t="s">
        <v>146</v>
      </c>
    </row>
    <row r="20" spans="1:3" ht="15" customHeight="1" x14ac:dyDescent="0.25">
      <c r="A20" s="4" t="str">
        <f t="shared" ca="1" si="0"/>
        <v>Gráfico I.1.6 • Comércio de bens e serviços | Taxa de variação em percentagem e contributos em pontos percentuais</v>
      </c>
      <c r="C20" t="s">
        <v>1156</v>
      </c>
    </row>
    <row r="21" spans="1:3" ht="15" customHeight="1" x14ac:dyDescent="0.25">
      <c r="A21" s="4" t="str">
        <f t="shared" ca="1" si="0"/>
        <v>Chart I.1.6 • Trade in goods and services | Rate of change in percentage and contributions in percentage points</v>
      </c>
      <c r="C21" t="s">
        <v>1157</v>
      </c>
    </row>
    <row r="22" spans="1:3" ht="15" customHeight="1" x14ac:dyDescent="0.25">
      <c r="A22" s="4" t="str">
        <f t="shared" ca="1" si="0"/>
        <v xml:space="preserve">Gráfico I.1.7 •  IHPC observado | Taxa de variação homóloga em percentagem e contributos em pontos percentuais </v>
      </c>
      <c r="C22" t="s">
        <v>1534</v>
      </c>
    </row>
    <row r="23" spans="1:3" ht="15" customHeight="1" x14ac:dyDescent="0.25">
      <c r="A23" s="4" t="str">
        <f t="shared" ca="1" si="0"/>
        <v>Chart I.1.7 • Observed HICP | Rate of change in percentage and contributions in percentage points</v>
      </c>
      <c r="C23" t="s">
        <v>1535</v>
      </c>
    </row>
    <row r="24" spans="1:3" ht="15" customHeight="1" x14ac:dyDescent="0.25">
      <c r="A24" s="4"/>
    </row>
    <row r="25" spans="1:3" ht="35.25" customHeight="1" x14ac:dyDescent="0.25">
      <c r="A25" s="3" t="s">
        <v>156</v>
      </c>
    </row>
    <row r="26" spans="1:3" x14ac:dyDescent="0.25">
      <c r="A26" s="4" t="str">
        <f t="shared" ca="1" si="0"/>
        <v xml:space="preserve">Gráfico C1.1 •  IHPC e indicador PMI para o preço dos inputs na área do euro |  Taxa de variação em cadeia anualizada sobre dados corrigidos de variações sazonais e em média móvel de 3 meses </v>
      </c>
      <c r="C26" t="s">
        <v>135</v>
      </c>
    </row>
    <row r="27" spans="1:3" x14ac:dyDescent="0.25">
      <c r="A27" s="4" t="str">
        <f t="shared" ca="1" si="0"/>
        <v>Chart B1.1 •   HICP and PMI indicator for the price of inputs in the euro area | Annualized quarter-on-quarter variation rate of 3-month moving average and seasonally adjusted data</v>
      </c>
      <c r="C27" t="s">
        <v>147</v>
      </c>
    </row>
    <row r="28" spans="1:3" x14ac:dyDescent="0.25">
      <c r="A28" s="4" t="str">
        <f t="shared" ca="1" si="0"/>
        <v>Quadro C1.1 • Hipóteses do exercício de projeção elaboradas por especialistas do Eurosistema</v>
      </c>
      <c r="C28" t="s">
        <v>136</v>
      </c>
    </row>
    <row r="29" spans="1:3" x14ac:dyDescent="0.25">
      <c r="A29" s="4" t="str">
        <f t="shared" ca="1" si="0"/>
        <v>Table B1.1 •  Eurosystem staff projection assumptions</v>
      </c>
      <c r="C29" t="s">
        <v>148</v>
      </c>
    </row>
    <row r="30" spans="1:3" x14ac:dyDescent="0.25">
      <c r="A30" s="3"/>
    </row>
    <row r="31" spans="1:3" ht="30.75" customHeight="1" x14ac:dyDescent="0.25">
      <c r="A31" s="3" t="s">
        <v>1212</v>
      </c>
    </row>
    <row r="32" spans="1:3" x14ac:dyDescent="0.25">
      <c r="A32" s="4" t="str">
        <f t="shared" ca="1" si="0"/>
        <v>Gráfico C2.1 • Termos de troca | Índice 2015 = 100</v>
      </c>
      <c r="C32" t="s">
        <v>137</v>
      </c>
    </row>
    <row r="33" spans="1:3" x14ac:dyDescent="0.25">
      <c r="A33" s="4" t="str">
        <f t="shared" ca="1" si="0"/>
        <v>Chart B2.1 • Terms of trade | Index 2015 = 100</v>
      </c>
      <c r="C33" t="s">
        <v>149</v>
      </c>
    </row>
    <row r="34" spans="1:3" x14ac:dyDescent="0.25">
      <c r="A34" s="4" t="str">
        <f t="shared" ca="1" si="0"/>
        <v>Gráfico C2.2 • Variação dos termos de troca de bens – contributos da componente energética e não energética | Em pontos percentuais</v>
      </c>
      <c r="C34" t="s">
        <v>138</v>
      </c>
    </row>
    <row r="35" spans="1:3" x14ac:dyDescent="0.25">
      <c r="A35" s="4" t="str">
        <f t="shared" ca="1" si="0"/>
        <v>Chart B2.2 • Terms of trade in goods change – contributions of energy and non-energy | In percentage points</v>
      </c>
      <c r="C35" t="s">
        <v>150</v>
      </c>
    </row>
    <row r="36" spans="1:3" x14ac:dyDescent="0.25">
      <c r="A36" s="4" t="str">
        <f t="shared" ca="1" si="0"/>
        <v xml:space="preserve">Gráfico C2.3 • Variação de termos de troca de bens e contributos dos efeitos estrutura e preço relativo | Em pontos percentuais </v>
      </c>
      <c r="C36" t="s">
        <v>922</v>
      </c>
    </row>
    <row r="37" spans="1:3" x14ac:dyDescent="0.25">
      <c r="A37" s="4" t="str">
        <f t="shared" ca="1" si="0"/>
        <v>Chart B2.3 • Terms of trade in goods change and contributions of structure and relative price effects | In percentage points</v>
      </c>
      <c r="C37" t="s">
        <v>923</v>
      </c>
    </row>
    <row r="38" spans="1:3" x14ac:dyDescent="0.25">
      <c r="A38" s="4" t="str">
        <f t="shared" ca="1" si="0"/>
        <v>Quadro C2.1 •  Contributos dos grupos de produtos para a variação dos termos de troca de bens – 2023 vs. 2015 | Variação acumulada em percentagem e contributos em pp</v>
      </c>
      <c r="C38" t="s">
        <v>1608</v>
      </c>
    </row>
    <row r="39" spans="1:3" x14ac:dyDescent="0.25">
      <c r="A39" s="4" t="str">
        <f t="shared" ca="1" si="0"/>
        <v>Table B2.1 • Groups of products' contribution to the terms of trade total variation – 2023 vs. 2015 | Cumulative growth as a percentage and contributions in pp</v>
      </c>
      <c r="C39" t="s">
        <v>1609</v>
      </c>
    </row>
    <row r="40" spans="1:3" x14ac:dyDescent="0.25">
      <c r="A40" s="4"/>
    </row>
    <row r="41" spans="1:3" ht="33" customHeight="1" x14ac:dyDescent="0.25">
      <c r="A41" s="3" t="s">
        <v>1574</v>
      </c>
    </row>
    <row r="42" spans="1:3" x14ac:dyDescent="0.25">
      <c r="A42" s="4" t="str">
        <f ca="1">HYPERLINK("#"&amp;C42,INDIRECT(C42))</f>
        <v>Gráfico C3.1 • IHPC total e IHPC de bens energéticos | Taxa de variação homóloga em percentagem e contributos em pontos percentuais</v>
      </c>
      <c r="C42" t="s">
        <v>139</v>
      </c>
    </row>
    <row r="43" spans="1:3" x14ac:dyDescent="0.25">
      <c r="A43" s="4" t="str">
        <f t="shared" ref="A43:A49" ca="1" si="1">HYPERLINK("#"&amp;C43,INDIRECT(C43))</f>
        <v>Chart B3.1 • HICP headline and HICP of energy goods | Year-on-year change rate in percentage and contributions in percentage points</v>
      </c>
      <c r="C43" t="s">
        <v>151</v>
      </c>
    </row>
    <row r="44" spans="1:3" x14ac:dyDescent="0.25">
      <c r="A44" s="4" t="str">
        <f t="shared" ca="1" si="1"/>
        <v>Gráfico C3.2 • Resposta da inflação e dos seus componentes a um choque de 1 desvio padrão no preço dos bens energéticos | Pontos percentuais</v>
      </c>
      <c r="C44" t="s">
        <v>924</v>
      </c>
    </row>
    <row r="45" spans="1:3" x14ac:dyDescent="0.25">
      <c r="A45" s="4" t="str">
        <f t="shared" ca="1" si="1"/>
        <v>Chart B3.2 • Response of inflation and its components to a shock of 1 standard deviation in energy prices | Percentage points</v>
      </c>
      <c r="C45" t="s">
        <v>925</v>
      </c>
    </row>
    <row r="46" spans="1:3" x14ac:dyDescent="0.25">
      <c r="A46" s="4" t="str">
        <f t="shared" ca="1" si="1"/>
        <v>Gráfico C3.3 • Decomposição histórica da inflação e contributos diretos e indiretos dos choques estruturais sobre o preço dos bens energéticos | Taxa de variação homóloga em percentagem e contributos erm pontos percentuais</v>
      </c>
      <c r="C46" t="s">
        <v>926</v>
      </c>
    </row>
    <row r="47" spans="1:3" x14ac:dyDescent="0.25">
      <c r="A47" s="4" t="str">
        <f t="shared" ca="1" si="1"/>
        <v>Chart B3.3 • Historical decomposition of inflation and direct and indirect contributes of structural shocks to energy prices | Y-o-y rate of change in percentage and contributions in percentage points</v>
      </c>
      <c r="C47" t="s">
        <v>927</v>
      </c>
    </row>
    <row r="48" spans="1:3" x14ac:dyDescent="0.25">
      <c r="A48" s="4" t="str">
        <f t="shared" ca="1" si="1"/>
        <v>Quadro C3.1 • Contributo para a inflação dos choques estruturais sobre o preço da energia | Pontos percentuais</v>
      </c>
      <c r="C48" t="s">
        <v>140</v>
      </c>
    </row>
    <row r="49" spans="1:3" x14ac:dyDescent="0.25">
      <c r="A49" s="4" t="str">
        <f t="shared" ca="1" si="1"/>
        <v>Table B3.1 • Contribution to inflation from structural energy price shocks | Percentage points</v>
      </c>
      <c r="C49" t="s">
        <v>152</v>
      </c>
    </row>
    <row r="50" spans="1:3" ht="52.5" customHeight="1" x14ac:dyDescent="0.25">
      <c r="A50" s="3" t="s">
        <v>87</v>
      </c>
    </row>
    <row r="51" spans="1:3" x14ac:dyDescent="0.25">
      <c r="A51" s="4" t="str">
        <f t="shared" ref="A51:A67" ca="1" si="2">HYPERLINK("#"&amp;C51,INDIRECT(C51))</f>
        <v>Gráfico I.2.1 Saldo das administrações públicas observado e projetado em Portugal e na área do euro  | Em percentagem do PIB</v>
      </c>
      <c r="C51" t="s">
        <v>141</v>
      </c>
    </row>
    <row r="52" spans="1:3" x14ac:dyDescent="0.25">
      <c r="A52" s="4" t="str">
        <f t="shared" ca="1" si="2"/>
        <v>Chart I.2.1 · General government balance outturn and projections in Portugal and the euro area | Percentage of GDP</v>
      </c>
      <c r="C52" t="s">
        <v>153</v>
      </c>
    </row>
    <row r="53" spans="1:3" x14ac:dyDescent="0.25">
      <c r="A53" s="4" t="str">
        <f t="shared" ca="1" si="2"/>
        <v>Gráfico I.2.2 Decomposição da variação do saldo das administrações públicas em Portugal e na área do euro| Em pontos percentuais do PIB e do PIB potencial</v>
      </c>
      <c r="C53" t="s">
        <v>1447</v>
      </c>
    </row>
    <row r="54" spans="1:3" x14ac:dyDescent="0.25">
      <c r="A54" s="4" t="str">
        <f t="shared" ca="1" si="2"/>
        <v>Chart I.2.1 · Breakdown of the change in the general government balance in Portugal and the euro area | Percentage points of GDP and potential GDP</v>
      </c>
      <c r="C54" t="s">
        <v>1448</v>
      </c>
    </row>
    <row r="55" spans="1:3" x14ac:dyDescent="0.25">
      <c r="A55" s="4" t="str">
        <f t="shared" ca="1" si="2"/>
        <v>Gráfico I.2.3 Impacto direto de medidas de política sobre o saldo orçamental em Portugal | Em percentagem do PIB</v>
      </c>
      <c r="C55" t="s">
        <v>1449</v>
      </c>
    </row>
    <row r="56" spans="1:3" x14ac:dyDescent="0.25">
      <c r="A56" s="4" t="str">
        <f t="shared" ca="1" si="2"/>
        <v>Chart I.2.3 · Direct impact of policy measures on the budget balance in Portugal | Percentage of GDP</v>
      </c>
      <c r="C56" t="s">
        <v>1450</v>
      </c>
    </row>
    <row r="57" spans="1:3" x14ac:dyDescent="0.25">
      <c r="A57" s="4" t="str">
        <f t="shared" ca="1" si="2"/>
        <v>Gráfico I.2.4 Decomposição da variação da receita fiscal e contributiva em Portugal | Em pontos percentuais do PIB</v>
      </c>
      <c r="C57" t="s">
        <v>1451</v>
      </c>
    </row>
    <row r="58" spans="1:3" x14ac:dyDescent="0.25">
      <c r="A58" s="4" t="str">
        <f t="shared" ca="1" si="2"/>
        <v>Chart I.2.4 ·  Breakdown of the change in revenue from taxes and social contributions in Portugal | Percentage points of GDP</v>
      </c>
      <c r="C58" t="s">
        <v>1452</v>
      </c>
    </row>
    <row r="59" spans="1:3" x14ac:dyDescent="0.25">
      <c r="A59" s="4" t="str">
        <f t="shared" ca="1" si="2"/>
        <v>Gráfico I.2.5 Decomposição da variação da despesa corrente primária estrutural em Portugal | Em pontos percentuais do PIB e do PIB potencial</v>
      </c>
      <c r="C59" t="s">
        <v>1453</v>
      </c>
    </row>
    <row r="60" spans="1:3" x14ac:dyDescent="0.25">
      <c r="A60" s="4" t="str">
        <f t="shared" ca="1" si="2"/>
        <v>Chart I.2.5 ·  Breakdown of the change in structural primary current expenditure in Portugal | Percentage points of GDP and potencial GDP</v>
      </c>
      <c r="C60" t="s">
        <v>1454</v>
      </c>
    </row>
    <row r="61" spans="1:3" x14ac:dyDescent="0.25">
      <c r="A61" s="4" t="str">
        <f t="shared" ca="1" si="2"/>
        <v>Gráfico I.2.6 Repartição temporal da despesa pública no âmbito do PRR em Portugal | Em percentagem do total do PRR em 2021-2026</v>
      </c>
      <c r="C61" t="s">
        <v>1455</v>
      </c>
    </row>
    <row r="62" spans="1:3" x14ac:dyDescent="0.25">
      <c r="A62" s="4" t="str">
        <f t="shared" ca="1" si="2"/>
        <v>Chart I.2.6 ·  Temporal allocation of public expenditure within the scope of the RRP in Portugal | Percentage of total RRP in 2021-2026</v>
      </c>
      <c r="C62" t="s">
        <v>1456</v>
      </c>
    </row>
    <row r="63" spans="1:3" x14ac:dyDescent="0.25">
      <c r="A63" s="4" t="str">
        <f t="shared" ca="1" si="2"/>
        <v>Gráfico I.2.7 Investimento público em Portugal | Em percentagem do PIB</v>
      </c>
      <c r="C63" t="s">
        <v>1457</v>
      </c>
    </row>
    <row r="64" spans="1:3" x14ac:dyDescent="0.25">
      <c r="A64" s="4" t="str">
        <f t="shared" ca="1" si="2"/>
        <v>Chart I.2.7 ·  Public investment in Portugal | Percentage of GDP</v>
      </c>
      <c r="C64" t="s">
        <v>1458</v>
      </c>
    </row>
    <row r="65" spans="1:3" x14ac:dyDescent="0.25">
      <c r="A65" s="4" t="str">
        <f t="shared" ca="1" si="2"/>
        <v>Gráfico I.2.8 Dívida pública observada e projetada em Portugal e na área do euro | Em percentagem do PIB</v>
      </c>
      <c r="C65" t="s">
        <v>1459</v>
      </c>
    </row>
    <row r="66" spans="1:3" x14ac:dyDescent="0.25">
      <c r="A66" s="4" t="str">
        <f t="shared" ca="1" si="2"/>
        <v>Chart I.2.8 · Public debt observed and projected in Portugal and the euro area | Percentage of GDP</v>
      </c>
      <c r="C66" t="s">
        <v>1460</v>
      </c>
    </row>
    <row r="67" spans="1:3" x14ac:dyDescent="0.25">
      <c r="A67" s="4" t="str">
        <f t="shared" ca="1" si="2"/>
        <v>Gráfico I.2.9 Contributos para a variação do rácio da dívida pública | Em pontos percentuais do PIB</v>
      </c>
      <c r="C67" t="s">
        <v>1461</v>
      </c>
    </row>
    <row r="68" spans="1:3" x14ac:dyDescent="0.25">
      <c r="A68" s="4" t="str">
        <f ca="1">HYPERLINK("#"&amp;C68,INDIRECT(C68))</f>
        <v>Chart I.2.9 ·  Breakdown of the change in the debt ratio | In percentage points of GDP</v>
      </c>
      <c r="C68" t="s">
        <v>1462</v>
      </c>
    </row>
    <row r="69" spans="1:3" x14ac:dyDescent="0.25">
      <c r="A69" s="4"/>
    </row>
    <row r="70" spans="1:3" ht="25.5" customHeight="1" x14ac:dyDescent="0.25">
      <c r="A70" s="3" t="s">
        <v>1370</v>
      </c>
    </row>
    <row r="71" spans="1:3" x14ac:dyDescent="0.25">
      <c r="A71" s="4" t="str">
        <f ca="1">HYPERLINK("#"&amp;C71,INDIRECT(C71))</f>
        <v>Gráfico C5.1 Referencial para a despesa pública observado e PIB potencial nominal em Portugal | Taxas de variação em percentagem</v>
      </c>
      <c r="C71" t="s">
        <v>1463</v>
      </c>
    </row>
    <row r="72" spans="1:3" x14ac:dyDescent="0.25">
      <c r="A72" s="4" t="str">
        <f ca="1">HYPERLINK("#"&amp;C72,INDIRECT(C72))</f>
        <v>Chart B5.1 Expenditure benchmark observed and nominal potential GDP in Portugal | Percentage rates of change</v>
      </c>
      <c r="C72" t="s">
        <v>1464</v>
      </c>
    </row>
    <row r="73" spans="1:3" x14ac:dyDescent="0.25">
      <c r="A73" s="4" t="str">
        <f ca="1">HYPERLINK("#"&amp;C73,INDIRECT(C73))</f>
        <v>Quadro C5.1 Referencial da despesa usado nas regras orçamentais em 2025 | Em milhões de euros</v>
      </c>
      <c r="C73" t="s">
        <v>1465</v>
      </c>
    </row>
    <row r="74" spans="1:3" x14ac:dyDescent="0.25">
      <c r="A74" s="4" t="str">
        <f ca="1">HYPERLINK("#"&amp;C74,INDIRECT(C74))</f>
        <v>Table B5.1 ·  Expenditure benchmark used in the fiscal rules in 2025 | Million euros</v>
      </c>
      <c r="C74" t="s">
        <v>1466</v>
      </c>
    </row>
    <row r="75" spans="1:3" x14ac:dyDescent="0.25">
      <c r="A75" s="3"/>
    </row>
    <row r="76" spans="1:3" ht="25.5" customHeight="1" x14ac:dyDescent="0.25">
      <c r="A76" s="3" t="s">
        <v>1371</v>
      </c>
    </row>
    <row r="77" spans="1:3" x14ac:dyDescent="0.25">
      <c r="A77" s="4" t="str">
        <f ca="1">HYPERLINK("#"&amp;C77,INDIRECT(C77))</f>
        <v>Gráfico C6.1 Decomposição da variação 
da receita fiscal e contributiva em 2022–2026
| Em milhões de euros</v>
      </c>
      <c r="C77" t="s">
        <v>1163</v>
      </c>
    </row>
    <row r="78" spans="1:3" x14ac:dyDescent="0.25">
      <c r="A78" s="4" t="str">
        <f t="shared" ref="A78:A82" ca="1" si="3">HYPERLINK("#"&amp;C78,INDIRECT(C78))</f>
        <v>Chart B6.1 Breakdown of the change in tax and social contributions revenue in 2022-2026 | Million euros</v>
      </c>
      <c r="C78" t="s">
        <v>1164</v>
      </c>
    </row>
    <row r="79" spans="1:3" x14ac:dyDescent="0.25">
      <c r="A79" s="4" t="str">
        <f t="shared" ca="1" si="3"/>
        <v>Gráfico C6.2 Impacto do aumento da inflação por imposto em 2022-2026 | Em milhões de euros</v>
      </c>
      <c r="C79" t="s">
        <v>1165</v>
      </c>
    </row>
    <row r="80" spans="1:3" x14ac:dyDescent="0.25">
      <c r="A80" s="4" t="str">
        <f t="shared" ca="1" si="3"/>
        <v>Chart B6.2 Impact of the increase in inflation by tax 2022-2026 | In million euros</v>
      </c>
      <c r="C80" t="s">
        <v>1166</v>
      </c>
    </row>
    <row r="81" spans="1:3" x14ac:dyDescent="0.25">
      <c r="A81" s="4" t="str">
        <f t="shared" ca="1" si="3"/>
        <v>Gráfico C6.3  Impacto da progressividade do IRS na receita| Em milhões de euros</v>
      </c>
      <c r="C81" t="s">
        <v>1167</v>
      </c>
    </row>
    <row r="82" spans="1:3" x14ac:dyDescent="0.25">
      <c r="A82" s="4" t="str">
        <f t="shared" ca="1" si="3"/>
        <v>Chart B6.3 Impact of personal income tax progressivity on revenue | Million euros</v>
      </c>
      <c r="C82" t="s">
        <v>1168</v>
      </c>
    </row>
    <row r="83" spans="1:3" x14ac:dyDescent="0.25">
      <c r="A83" s="3"/>
    </row>
    <row r="84" spans="1:3" ht="25.5" customHeight="1" x14ac:dyDescent="0.25">
      <c r="A84" s="3" t="s">
        <v>1372</v>
      </c>
    </row>
    <row r="85" spans="1:3" x14ac:dyDescent="0.25">
      <c r="A85" s="4" t="str">
        <f ca="1">HYPERLINK("#"&amp;C85,INDIRECT(C85))</f>
        <v>Gráfico C7.1 Rácio da dívida pública: nível e decomposição da variação | Em percentagem e pontos percentuais do PIB</v>
      </c>
      <c r="C85" t="s">
        <v>1169</v>
      </c>
    </row>
    <row r="86" spans="1:3" x14ac:dyDescent="0.25">
      <c r="A86" s="4" t="str">
        <f t="shared" ref="A86:A91" ca="1" si="4">HYPERLINK("#"&amp;C86,INDIRECT(C86))</f>
        <v>Chart B7.1 Public debt ratio: level and breakdown of the change | In percentage and percentage points of GDP</v>
      </c>
      <c r="C86" t="s">
        <v>1170</v>
      </c>
    </row>
    <row r="87" spans="1:3" x14ac:dyDescent="0.25">
      <c r="A87" s="4" t="str">
        <f t="shared" ca="1" si="4"/>
        <v>Gráfico C7.2 Resultados da análise determinística para as principais variáveis | Em percentagem e percentagem do PIB</v>
      </c>
      <c r="C87" t="s">
        <v>1171</v>
      </c>
    </row>
    <row r="88" spans="1:3" x14ac:dyDescent="0.25">
      <c r="A88" s="4" t="str">
        <f t="shared" ca="1" si="4"/>
        <v>Chart B7.2 Deterministic analysis results for the main variables | In percentage and percentage of GDP</v>
      </c>
      <c r="C88" t="s">
        <v>1172</v>
      </c>
    </row>
    <row r="89" spans="1:3" x14ac:dyDescent="0.25">
      <c r="A89" s="4" t="str">
        <f t="shared" ca="1" si="4"/>
        <v>Gráfico C7.3 Trajetórias para o rácio da dívida pública de acordo com a análise estocástica | Em percentagem do PIB</v>
      </c>
      <c r="C89" t="s">
        <v>1173</v>
      </c>
    </row>
    <row r="90" spans="1:3" x14ac:dyDescent="0.25">
      <c r="A90" s="4" t="str">
        <f t="shared" ca="1" si="4"/>
        <v>Chart B7.3 Public debt ratio trajectories based on the stochastic analysis | In percentage of GDP</v>
      </c>
      <c r="C90" t="s">
        <v>1174</v>
      </c>
    </row>
    <row r="91" spans="1:3" x14ac:dyDescent="0.25">
      <c r="A91" s="4" t="str">
        <f t="shared" ca="1" si="4"/>
        <v xml:space="preserve">Gráfico C7.4 Distribuição do rácio da dívida pública para 2033: probabilidade em exceder um valor | Em percentagem </v>
      </c>
      <c r="C91" t="s">
        <v>1175</v>
      </c>
    </row>
    <row r="92" spans="1:3" x14ac:dyDescent="0.25">
      <c r="A92" s="4" t="str">
        <f ca="1">HYPERLINK("#"&amp;C92,INDIRECT(C92))</f>
        <v>Chart B7.4 Distribution of the public debt ratio for 2033: probability of exceeding a value | In percentage</v>
      </c>
      <c r="C92" t="s">
        <v>1176</v>
      </c>
    </row>
    <row r="93" spans="1:3" x14ac:dyDescent="0.25">
      <c r="A93" s="4"/>
    </row>
    <row r="94" spans="1:3" x14ac:dyDescent="0.25">
      <c r="A94" s="3"/>
    </row>
    <row r="95" spans="1:3" ht="28.5" customHeight="1" x14ac:dyDescent="0.25">
      <c r="A95" s="3" t="s">
        <v>1528</v>
      </c>
    </row>
    <row r="96" spans="1:3" x14ac:dyDescent="0.25">
      <c r="A96" s="4" t="str">
        <f t="shared" ref="A96:A119" ca="1" si="5">HYPERLINK("#"&amp;C96,INDIRECT(C96))</f>
        <v>Gráfico 1 • Trabalhadores com nacionalidade estrangeira | Número de indivíduos em cada mês</v>
      </c>
      <c r="C96" t="s">
        <v>161</v>
      </c>
    </row>
    <row r="97" spans="1:3" x14ac:dyDescent="0.25">
      <c r="A97" s="4" t="str">
        <f t="shared" ca="1" si="5"/>
        <v>Chart 1 • Employees with foreign nationality | Number of individuals in each month</v>
      </c>
      <c r="C97" t="s">
        <v>162</v>
      </c>
    </row>
    <row r="98" spans="1:3" x14ac:dyDescent="0.25">
      <c r="A98" s="4" t="str">
        <f t="shared" ca="1" si="5"/>
        <v>Gráfico 2 • Número de empresas com trabalhadores por nacionalidade| Milhares de empresas</v>
      </c>
      <c r="C98" t="s">
        <v>163</v>
      </c>
    </row>
    <row r="99" spans="1:3" x14ac:dyDescent="0.25">
      <c r="A99" s="4" t="str">
        <f t="shared" ca="1" si="5"/>
        <v>Chart 2 • Number of firms with employees by nationality | Thousands of firms</v>
      </c>
      <c r="C99" t="s">
        <v>928</v>
      </c>
    </row>
    <row r="100" spans="1:3" x14ac:dyDescent="0.25">
      <c r="A100" s="4" t="str">
        <f t="shared" ca="1" si="5"/>
        <v>Quadro 1 • Número de trabalhadores com nacionalidade estrangeira e respetivo peso por dimensão da empresa em 2023 | Número de indivíduos e peso em percentagem</v>
      </c>
      <c r="C100" t="s">
        <v>159</v>
      </c>
    </row>
    <row r="101" spans="1:3" x14ac:dyDescent="0.25">
      <c r="A101" s="4" t="str">
        <f t="shared" ca="1" si="5"/>
        <v>Table 1 • Number of employees with foreign nationality and respective weight by firm size in 2023 | Number of individuals and weight in percentage</v>
      </c>
      <c r="C101" t="s">
        <v>160</v>
      </c>
    </row>
    <row r="102" spans="1:3" x14ac:dyDescent="0.25">
      <c r="A102" s="4" t="str">
        <f t="shared" ca="1" si="5"/>
        <v>Gráfico 3 • Número de trabalhadores estrangeiros por principais nacionalidades | Número de indivíduos em cada mês</v>
      </c>
      <c r="C102" t="s">
        <v>929</v>
      </c>
    </row>
    <row r="103" spans="1:3" x14ac:dyDescent="0.25">
      <c r="A103" s="4" t="str">
        <f t="shared" ca="1" si="5"/>
        <v>Chart 3 • Number of foreign employees by main nationalities | Number of individuals in each month</v>
      </c>
      <c r="C103" t="s">
        <v>937</v>
      </c>
    </row>
    <row r="104" spans="1:3" x14ac:dyDescent="0.25">
      <c r="A104" s="4" t="str">
        <f t="shared" ca="1" si="5"/>
        <v>Gráfico 4 • Distribuição da idade dos trabalhadores por nacionalidade em 2023 | Anos</v>
      </c>
      <c r="C104" t="s">
        <v>930</v>
      </c>
    </row>
    <row r="105" spans="1:3" x14ac:dyDescent="0.25">
      <c r="A105" s="4" t="str">
        <f t="shared" ca="1" si="5"/>
        <v>Chart 4 • Employees' age distribution by nationality in 2023 | Years</v>
      </c>
      <c r="C105" t="s">
        <v>938</v>
      </c>
    </row>
    <row r="106" spans="1:3" x14ac:dyDescent="0.25">
      <c r="A106" s="4" t="str">
        <f t="shared" ca="1" si="5"/>
        <v xml:space="preserve">Gráfico 5 • Peso das mulheres no número total de trabalhadores por nacionalidade em 2023 | Percentagem </v>
      </c>
      <c r="C106" t="s">
        <v>931</v>
      </c>
    </row>
    <row r="107" spans="1:3" x14ac:dyDescent="0.25">
      <c r="A107" s="4" t="str">
        <f t="shared" ca="1" si="5"/>
        <v>Chart 5 • Share of women in the total number of employees by nationality in 2023 | Percentage</v>
      </c>
      <c r="C107" t="s">
        <v>939</v>
      </c>
    </row>
    <row r="108" spans="1:3" x14ac:dyDescent="0.25">
      <c r="A108" s="4" t="str">
        <f t="shared" ca="1" si="5"/>
        <v>Gráfico 6 • Distribuição dos trabalhadores com nacionalidade estrangeira por concelho da sede da empresa em 2023 | Número de indivíduos (painel A) e peso dos estrangeiros no número total de trabalhadores por concelho (painel B)</v>
      </c>
      <c r="C108" t="s">
        <v>932</v>
      </c>
    </row>
    <row r="109" spans="1:3" x14ac:dyDescent="0.25">
      <c r="A109" s="4" t="str">
        <f t="shared" ca="1" si="5"/>
        <v>Chart 6 • Distribution of employees with foreign nationality by firm's headquarter municipality in 2023 | Number of individuals (panel A) and share of foreigners in the total number of employees per municipality (panel B)</v>
      </c>
      <c r="C109" t="s">
        <v>940</v>
      </c>
    </row>
    <row r="110" spans="1:3" x14ac:dyDescent="0.25">
      <c r="A110" s="4" t="str">
        <f t="shared" ca="1" si="5"/>
        <v xml:space="preserve">Gráfico 7 • Distribuição do número de trabalhadores com nacionalidade estrangeira por setor de atividade | Número de indivíduos </v>
      </c>
      <c r="C110" t="s">
        <v>933</v>
      </c>
    </row>
    <row r="111" spans="1:3" x14ac:dyDescent="0.25">
      <c r="A111" s="4" t="str">
        <f t="shared" ca="1" si="5"/>
        <v>Chart 7 • Distribution of the number of employees with foreign nationality by activity sector | Number of individuals</v>
      </c>
      <c r="C111" t="s">
        <v>941</v>
      </c>
    </row>
    <row r="112" spans="1:3" x14ac:dyDescent="0.25">
      <c r="A112" s="4" t="str">
        <f t="shared" ca="1" si="5"/>
        <v xml:space="preserve">Gráfico 8 • Peso dos trabalhadores com nacionalidade estrangeira no total de trabalhadores por setor de atividade | Percentagem </v>
      </c>
      <c r="C112" t="s">
        <v>934</v>
      </c>
    </row>
    <row r="113" spans="1:3" x14ac:dyDescent="0.25">
      <c r="A113" s="4" t="str">
        <f t="shared" ca="1" si="5"/>
        <v>Chart 8 • Share of employees with foreign nationality in the total number of employees by activity sector | Percentage</v>
      </c>
      <c r="C113" t="s">
        <v>942</v>
      </c>
    </row>
    <row r="114" spans="1:3" x14ac:dyDescent="0.25">
      <c r="A114" s="4" t="str">
        <f t="shared" ca="1" si="5"/>
        <v xml:space="preserve">Quadro 2 • Distribuição dos trabalhadores estrangeiros por nacionalidade em cada setor em 2023 | Percentagem  </v>
      </c>
      <c r="C114" t="s">
        <v>945</v>
      </c>
    </row>
    <row r="115" spans="1:3" x14ac:dyDescent="0.25">
      <c r="A115" s="4" t="str">
        <f t="shared" ca="1" si="5"/>
        <v>Table 2 • Distribution of foreign employees by nationality in each sector in 2023 | Percentage</v>
      </c>
      <c r="C115" t="s">
        <v>946</v>
      </c>
    </row>
    <row r="116" spans="1:3" x14ac:dyDescent="0.25">
      <c r="A116" s="4" t="str">
        <f t="shared" ca="1" si="5"/>
        <v>Gráfico 9 • Distribuição das remunerações regulares brutas nominais por idade e nacionalidade em 2023 | Euros</v>
      </c>
      <c r="C116" t="s">
        <v>935</v>
      </c>
    </row>
    <row r="117" spans="1:3" x14ac:dyDescent="0.25">
      <c r="A117" s="4" t="str">
        <f t="shared" ca="1" si="5"/>
        <v>Chart 9 • Distribution of nominal gross regular wages by age and nationality in 2023 | Euros</v>
      </c>
      <c r="C117" t="s">
        <v>943</v>
      </c>
    </row>
    <row r="118" spans="1:3" x14ac:dyDescent="0.25">
      <c r="A118" s="4" t="str">
        <f t="shared" ca="1" si="5"/>
        <v>Gráfico 10 • Média e mediana das remunerações regulares brutas nominais por nacionalidade em 2023 | Euros</v>
      </c>
      <c r="C118" t="s">
        <v>936</v>
      </c>
    </row>
    <row r="119" spans="1:3" x14ac:dyDescent="0.25">
      <c r="A119" s="4" t="str">
        <f t="shared" ca="1" si="5"/>
        <v>Chart 10 • Average and median of nominal gross regular wages by nationality in 2023 | Euros</v>
      </c>
      <c r="C119" t="s">
        <v>944</v>
      </c>
    </row>
    <row r="120" spans="1:3" x14ac:dyDescent="0.25">
      <c r="A120" s="3"/>
    </row>
    <row r="121" spans="1:3" ht="23.1" customHeight="1" x14ac:dyDescent="0.25">
      <c r="A121" s="3" t="s">
        <v>1529</v>
      </c>
    </row>
    <row r="122" spans="1:3" x14ac:dyDescent="0.25">
      <c r="A122" s="4" t="str">
        <f t="shared" ref="A122:A131" ca="1" si="6">HYPERLINK("#"&amp;C122,INDIRECT(C122))</f>
        <v>Gráfico C1.1 • População residente empregada (20 a 64 anos) por nacionalidade e escolaridade máxima| Percentagem do total da população da respetiva nacionalidade</v>
      </c>
      <c r="C122" t="s">
        <v>947</v>
      </c>
    </row>
    <row r="123" spans="1:3" x14ac:dyDescent="0.25">
      <c r="A123" s="4" t="str">
        <f t="shared" ca="1" si="6"/>
        <v>Chart C1.1 • Resident employed population (20 - 64 years) by nationality and maximum schooling attainment | As a percentage of total population of the respective nationality</v>
      </c>
      <c r="C123" t="s">
        <v>948</v>
      </c>
    </row>
    <row r="124" spans="1:3" x14ac:dyDescent="0.25">
      <c r="A124" s="4" t="str">
        <f t="shared" ca="1" si="6"/>
        <v>Gráfico C1.2 •  Pirâmide etária da população estrangeira empregada em Portugal, por nível máximo de ensino atingido | Número de indivíduos e percentagem com cada nível de ensino</v>
      </c>
      <c r="C124" t="s">
        <v>949</v>
      </c>
    </row>
    <row r="125" spans="1:3" ht="16.5" customHeight="1" x14ac:dyDescent="0.25">
      <c r="A125" s="4" t="str">
        <f t="shared" ca="1" si="6"/>
        <v xml:space="preserve">Chart C1.2 • Age pyramid of foreign population employed in Portugal by maximum schooling attainment | Number of individuals and their percentage at each level of schooling attainment </v>
      </c>
      <c r="C125" t="s">
        <v>950</v>
      </c>
    </row>
    <row r="126" spans="1:3" x14ac:dyDescent="0.25">
      <c r="A126" s="4" t="str">
        <f t="shared" ca="1" si="6"/>
        <v>Gráfico C1.3 •  Pirâmide etária da população portuguesa empregada em Portugal, por nível máximo de ensino atingido | Número de indivíduos em cada nível de ensino</v>
      </c>
      <c r="C126" t="s">
        <v>951</v>
      </c>
    </row>
    <row r="127" spans="1:3" x14ac:dyDescent="0.25">
      <c r="A127" s="4" t="str">
        <f t="shared" ca="1" si="6"/>
        <v xml:space="preserve">Chart C1.3 • Age pyramid of Portuguese population employed in Portugal by maximum schooling attainment | Number of persons at each level of schooling attainment </v>
      </c>
      <c r="C127" t="s">
        <v>952</v>
      </c>
    </row>
    <row r="128" spans="1:3" x14ac:dyDescent="0.25">
      <c r="A128" s="4" t="str">
        <f t="shared" ca="1" si="6"/>
        <v>Gráfico C1.4 • População empregada (15 ou mais anos) estrangeira e portuguesa por setor de atividade e nível máximo de ensino | Percentagem do total de cada setor em cada nacionalidade</v>
      </c>
      <c r="C128" t="s">
        <v>953</v>
      </c>
    </row>
    <row r="129" spans="1:3" x14ac:dyDescent="0.25">
      <c r="A129" s="4" t="str">
        <f t="shared" ca="1" si="6"/>
        <v>Chart C1.4 • Foreign and Portuguese employed population (15 and more years) by sector of activity and maximum schooling attainment | Percentage of each sector in the respective nationality</v>
      </c>
      <c r="C129" t="s">
        <v>954</v>
      </c>
    </row>
    <row r="130" spans="1:3" x14ac:dyDescent="0.25">
      <c r="A130" s="4" t="str">
        <f t="shared" ca="1" si="6"/>
        <v>Quadro  C1.1 • População estrangeira empregada (15 ou mais anos), por nacionalidade e nível máximo de ensino | Número de indivíduos e distribuição por nível de ensino em percentagem</v>
      </c>
      <c r="C130" t="s">
        <v>955</v>
      </c>
    </row>
    <row r="131" spans="1:3" x14ac:dyDescent="0.25">
      <c r="A131" s="4" t="str">
        <f t="shared" ca="1" si="6"/>
        <v xml:space="preserve">Table C1.1 • Foreign employed population (15 or more years) by nationality and maximum schooling attainment | Total number of individuals and breakdown as a percentage of each educational level for each nationality </v>
      </c>
      <c r="C131" t="s">
        <v>956</v>
      </c>
    </row>
    <row r="132" spans="1:3" x14ac:dyDescent="0.25">
      <c r="A132" s="4"/>
    </row>
    <row r="133" spans="1:3" x14ac:dyDescent="0.25">
      <c r="A133" s="4"/>
    </row>
    <row r="134" spans="1:3" x14ac:dyDescent="0.25">
      <c r="A134" s="329"/>
    </row>
    <row r="135" spans="1:3" x14ac:dyDescent="0.25">
      <c r="A135" s="329"/>
    </row>
    <row r="136" spans="1:3" ht="36" customHeight="1" x14ac:dyDescent="0.25">
      <c r="A136" s="3" t="s">
        <v>1162</v>
      </c>
    </row>
    <row r="137" spans="1:3" x14ac:dyDescent="0.25">
      <c r="A137" s="4" t="str">
        <f t="shared" ref="A137:A156" ca="1" si="7">HYPERLINK("#"&amp;C137,INDIRECT(C137))</f>
        <v>Gráfico 1 • Despesa com juros da dívida pública em Portugal e na área do euro | Em percentagem do PIB</v>
      </c>
      <c r="C137" t="s">
        <v>164</v>
      </c>
    </row>
    <row r="138" spans="1:3" x14ac:dyDescent="0.25">
      <c r="A138" s="4" t="str">
        <f t="shared" ca="1" si="7"/>
        <v>Chart 1 • Interest expenditure of public debt in Portugal and the euro area | Percentage of GDP</v>
      </c>
      <c r="C138" t="s">
        <v>165</v>
      </c>
    </row>
    <row r="139" spans="1:3" x14ac:dyDescent="0.25">
      <c r="A139" s="4" t="str">
        <f t="shared" ca="1" si="7"/>
        <v>Gráfico 2 • Dívida pública em Portugal | Em percentagem do PIB e milhões de euros</v>
      </c>
      <c r="C139" t="s">
        <v>166</v>
      </c>
    </row>
    <row r="140" spans="1:3" x14ac:dyDescent="0.25">
      <c r="A140" s="4" t="str">
        <f t="shared" ca="1" si="7"/>
        <v>Chart 2 • Public debt in Portugal | Percentage of GDP and million euros</v>
      </c>
      <c r="C140" t="s">
        <v>167</v>
      </c>
    </row>
    <row r="141" spans="1:3" x14ac:dyDescent="0.25">
      <c r="A141" s="4" t="str">
        <f t="shared" ca="1" si="7"/>
        <v>Gráfico 3 • Dívida pública em Portugal e na área do euro | Em percentagem do PIB</v>
      </c>
      <c r="C141" t="s">
        <v>168</v>
      </c>
    </row>
    <row r="142" spans="1:3" x14ac:dyDescent="0.25">
      <c r="A142" s="4" t="str">
        <f t="shared" ca="1" si="7"/>
        <v>Chart 3 • Public debt in Portugal and the euro area | Percentage of GDP</v>
      </c>
      <c r="C142" t="s">
        <v>169</v>
      </c>
    </row>
    <row r="143" spans="1:3" x14ac:dyDescent="0.25">
      <c r="A143" s="4" t="str">
        <f t="shared" ca="1" si="7"/>
        <v>Gráfico 4 • Decomposição da variação da despesa com juros da dívida pública em percentagem do PIB, em Portugal e na área do euro | Médias anuais, em pontos percentuais</v>
      </c>
      <c r="C143" t="s">
        <v>170</v>
      </c>
    </row>
    <row r="144" spans="1:3" x14ac:dyDescent="0.25">
      <c r="A144" s="4" t="str">
        <f t="shared" ca="1" si="7"/>
        <v>Chart 4 • Decomposition of the change in public debt interest expenditure as a percentage of GDP in Portugal and the euro area | Yearly averages, in percentage points</v>
      </c>
      <c r="C144" t="s">
        <v>171</v>
      </c>
    </row>
    <row r="145" spans="1:3" x14ac:dyDescent="0.25">
      <c r="A145" s="4" t="str">
        <f t="shared" ca="1" si="7"/>
        <v xml:space="preserve">Gráfico 5 • Taxa de juro implícita na dívida pública em Portugal e na área do euro | Em percentagem </v>
      </c>
      <c r="C145" t="s">
        <v>172</v>
      </c>
    </row>
    <row r="146" spans="1:3" x14ac:dyDescent="0.25">
      <c r="A146" s="4" t="str">
        <f t="shared" ca="1" si="7"/>
        <v>Chart 5 • Implicit interest rate on public debt in Portugal and the euro area | Percentage</v>
      </c>
      <c r="C146" t="s">
        <v>173</v>
      </c>
    </row>
    <row r="147" spans="1:3" x14ac:dyDescent="0.25">
      <c r="A147" s="4" t="str">
        <f t="shared" ca="1" si="7"/>
        <v>Gráfico 6 • Taxas de juro da dívida soberana (a 10 anos) em Portugal e na Alemanha e spread | Em percentagem e pontos percentuais</v>
      </c>
      <c r="C147" t="s">
        <v>174</v>
      </c>
    </row>
    <row r="148" spans="1:3" x14ac:dyDescent="0.25">
      <c r="A148" s="4" t="str">
        <f t="shared" ca="1" si="7"/>
        <v>Chart 6 • 10-year treasury yields in Portugal and Germany and spread | Percentage and percentage points</v>
      </c>
      <c r="C148" t="s">
        <v>175</v>
      </c>
    </row>
    <row r="149" spans="1:3" x14ac:dyDescent="0.25">
      <c r="A149" s="4" t="str">
        <f t="shared" ca="1" si="7"/>
        <v>Gráfico 7 • Estrutura da dívida pública por tipo de instrumento e maturidade original em Portugal e na área do euro | Em percentagem</v>
      </c>
      <c r="C149" t="s">
        <v>176</v>
      </c>
    </row>
    <row r="150" spans="1:3" x14ac:dyDescent="0.25">
      <c r="A150" s="4" t="str">
        <f t="shared" ca="1" si="7"/>
        <v>Chart 7 • Structure of public debt by type of instrument and original maturity in Portugal and the euro area | In percentage</v>
      </c>
      <c r="C150" t="s">
        <v>177</v>
      </c>
    </row>
    <row r="151" spans="1:3" x14ac:dyDescent="0.25">
      <c r="A151" s="4" t="str">
        <f t="shared" ca="1" si="7"/>
        <v xml:space="preserve">Gráfico 8 • Maturidade média residual da dívida pública em Portugal e na área do euro | Anos </v>
      </c>
      <c r="C151" t="s">
        <v>1034</v>
      </c>
    </row>
    <row r="152" spans="1:3" x14ac:dyDescent="0.25">
      <c r="A152" s="4" t="str">
        <f t="shared" ca="1" si="7"/>
        <v>Chart 8 • Average residual maturity of public debt in Portugal and the euro area | Years</v>
      </c>
      <c r="C152" t="s">
        <v>1035</v>
      </c>
    </row>
    <row r="153" spans="1:3" x14ac:dyDescent="0.25">
      <c r="A153" s="4" t="str">
        <f t="shared" ca="1" si="7"/>
        <v>Gráfico 9 • Estrutura de emissões de dívida transacionável por maturidade em Portugal e na área do euro | Em percentagem</v>
      </c>
      <c r="C153" t="s">
        <v>1036</v>
      </c>
    </row>
    <row r="154" spans="1:3" x14ac:dyDescent="0.25">
      <c r="A154" s="4" t="str">
        <f t="shared" ca="1" si="7"/>
        <v>Chart 9 • Structure of tradeable debt issuances by maturity in Portugal and the euro area | In percentage</v>
      </c>
      <c r="C154" t="s">
        <v>1037</v>
      </c>
    </row>
    <row r="155" spans="1:3" x14ac:dyDescent="0.25">
      <c r="A155" s="4" t="str">
        <f t="shared" ca="1" si="7"/>
        <v xml:space="preserve">Gráfico 10 • Decomposição da taxa de juro implícita da dívida observada e projetada | Em percentagem </v>
      </c>
      <c r="C155" t="s">
        <v>1038</v>
      </c>
    </row>
    <row r="156" spans="1:3" x14ac:dyDescent="0.25">
      <c r="A156" s="4" t="str">
        <f t="shared" ca="1" si="7"/>
        <v>Chart 10 • Decomposition of the observed and projected implicit interest rate on debt | In percentage</v>
      </c>
      <c r="C156" t="s">
        <v>1039</v>
      </c>
    </row>
    <row r="157" spans="1:3" x14ac:dyDescent="0.25">
      <c r="A157" s="4"/>
    </row>
    <row r="158" spans="1:3" x14ac:dyDescent="0.25">
      <c r="A158" s="4"/>
    </row>
    <row r="159" spans="1:3" x14ac:dyDescent="0.25">
      <c r="A159" s="4"/>
    </row>
  </sheetData>
  <sheetProtection algorithmName="SHA-512" hashValue="q3/PTgALT/LEeU/Ltb7DUxP2okoAEgYhMzVWiUHfW2LWLNi55PpJyO+E5mbYhz/KjqKCnU00eoBkTeMFgfGyWg==" saltValue="VRu0nkQBwTPoW0PwmHtr9w==" spinCount="100000" sheet="1" objects="1" scenarios="1"/>
  <phoneticPr fontId="28"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9E9D-61D9-4DCD-9870-4001C80AAD66}">
  <sheetPr codeName="Sheet3"/>
  <dimension ref="A5:M43"/>
  <sheetViews>
    <sheetView showGridLines="0" zoomScale="80" zoomScaleNormal="80" workbookViewId="0">
      <selection activeCell="C33" sqref="C33"/>
    </sheetView>
  </sheetViews>
  <sheetFormatPr defaultRowHeight="15" x14ac:dyDescent="0.25"/>
  <cols>
    <col min="1" max="1" width="59" customWidth="1"/>
    <col min="2" max="2" width="40.42578125" customWidth="1"/>
  </cols>
  <sheetData>
    <row r="5" spans="1:13" ht="36" customHeight="1" x14ac:dyDescent="0.25">
      <c r="A5" s="10" t="s">
        <v>3</v>
      </c>
    </row>
    <row r="6" spans="1:13" ht="18.75" x14ac:dyDescent="0.25">
      <c r="A6" s="6" t="s">
        <v>179</v>
      </c>
    </row>
    <row r="7" spans="1:13" x14ac:dyDescent="0.25">
      <c r="A7" s="78" t="str">
        <f>+Índice!$A$7</f>
        <v>Parte I. Projeções para a economia portuguesa: 2024-26/Part I. Projections for the Portuguese economy: 2024-26</v>
      </c>
    </row>
    <row r="8" spans="1:13" ht="18.75" x14ac:dyDescent="0.25">
      <c r="A8" s="6"/>
    </row>
    <row r="9" spans="1:13" x14ac:dyDescent="0.25">
      <c r="A9" s="7"/>
    </row>
    <row r="10" spans="1:13" x14ac:dyDescent="0.25">
      <c r="A10" t="s">
        <v>911</v>
      </c>
    </row>
    <row r="11" spans="1:13" x14ac:dyDescent="0.25">
      <c r="A11" s="8" t="s">
        <v>912</v>
      </c>
    </row>
    <row r="13" spans="1:13" x14ac:dyDescent="0.25">
      <c r="A13" s="9" t="s">
        <v>2</v>
      </c>
      <c r="C13" t="s">
        <v>4</v>
      </c>
      <c r="E13" t="s">
        <v>4</v>
      </c>
      <c r="F13" t="s">
        <v>4</v>
      </c>
      <c r="G13" t="s">
        <v>4</v>
      </c>
      <c r="H13" t="s">
        <v>4</v>
      </c>
      <c r="J13" t="s">
        <v>4</v>
      </c>
      <c r="K13" t="s">
        <v>4</v>
      </c>
      <c r="L13" t="s">
        <v>4</v>
      </c>
      <c r="M13" t="s">
        <v>4</v>
      </c>
    </row>
    <row r="14" spans="1:13" x14ac:dyDescent="0.25">
      <c r="C14" t="s">
        <v>5</v>
      </c>
      <c r="E14" s="417" t="s">
        <v>1527</v>
      </c>
      <c r="F14" s="417"/>
      <c r="G14" s="417"/>
      <c r="H14" s="417"/>
      <c r="J14" s="418" t="s">
        <v>6</v>
      </c>
      <c r="K14" s="418"/>
      <c r="L14" s="418"/>
      <c r="M14" s="418"/>
    </row>
    <row r="15" spans="1:13" x14ac:dyDescent="0.25">
      <c r="C15" s="8" t="s">
        <v>7</v>
      </c>
      <c r="D15" s="8"/>
      <c r="E15" s="419" t="s">
        <v>903</v>
      </c>
      <c r="F15" s="419"/>
      <c r="G15" s="419"/>
      <c r="H15" s="419"/>
      <c r="I15" s="8"/>
      <c r="J15" s="420" t="s">
        <v>8</v>
      </c>
      <c r="K15" s="420"/>
      <c r="L15" s="420"/>
      <c r="M15" s="420"/>
    </row>
    <row r="16" spans="1:13" x14ac:dyDescent="0.25">
      <c r="C16">
        <v>2023</v>
      </c>
      <c r="E16">
        <v>2023</v>
      </c>
      <c r="F16" t="s">
        <v>904</v>
      </c>
      <c r="G16" t="s">
        <v>905</v>
      </c>
      <c r="H16" t="s">
        <v>906</v>
      </c>
      <c r="J16">
        <v>2023</v>
      </c>
      <c r="K16" t="s">
        <v>904</v>
      </c>
      <c r="L16" t="s">
        <v>905</v>
      </c>
      <c r="M16" t="s">
        <v>906</v>
      </c>
    </row>
    <row r="18" spans="1:13" ht="15.75" x14ac:dyDescent="0.25">
      <c r="A18" s="11" t="s">
        <v>11</v>
      </c>
      <c r="B18" s="12" t="s">
        <v>12</v>
      </c>
      <c r="C18" s="32">
        <v>100.00000000000001</v>
      </c>
      <c r="E18" s="16">
        <v>2.2612548973556699</v>
      </c>
      <c r="F18" s="16">
        <v>2.0372003970247761</v>
      </c>
      <c r="G18" s="16">
        <v>2.2937180754335316</v>
      </c>
      <c r="H18" s="16">
        <v>2.2337035679701529</v>
      </c>
      <c r="J18" s="16">
        <v>2.2805199599621488</v>
      </c>
      <c r="K18" s="16">
        <v>2.045973875867162</v>
      </c>
      <c r="L18" s="16">
        <v>2.2967684870433374</v>
      </c>
      <c r="M18" s="16">
        <v>2.2083860756772395</v>
      </c>
    </row>
    <row r="19" spans="1:13" ht="15.75" x14ac:dyDescent="0.25">
      <c r="A19" s="11"/>
      <c r="B19" s="12"/>
      <c r="C19" s="32"/>
      <c r="E19" s="16"/>
      <c r="F19" s="16"/>
      <c r="G19" s="16"/>
      <c r="H19" s="16"/>
      <c r="J19" s="16"/>
      <c r="K19" s="16"/>
      <c r="L19" s="16"/>
      <c r="M19" s="16"/>
    </row>
    <row r="20" spans="1:13" ht="15.75" x14ac:dyDescent="0.25">
      <c r="A20" s="299" t="s">
        <v>13</v>
      </c>
      <c r="B20" s="12" t="s">
        <v>14</v>
      </c>
      <c r="C20" s="32">
        <v>62.581910341313609</v>
      </c>
      <c r="E20" s="16">
        <v>1.6617568271836518</v>
      </c>
      <c r="F20" s="16">
        <v>1.9717614815966158</v>
      </c>
      <c r="G20" s="16">
        <v>1.9311053483213669</v>
      </c>
      <c r="H20" s="16">
        <v>1.8154846584820064</v>
      </c>
      <c r="J20" s="16">
        <v>1.6336573995918542</v>
      </c>
      <c r="K20" s="16">
        <v>2.0820899217389552</v>
      </c>
      <c r="L20" s="16">
        <v>1.9251060221683929</v>
      </c>
      <c r="M20" s="16">
        <v>1.8266149736555946</v>
      </c>
    </row>
    <row r="21" spans="1:13" ht="15.75" x14ac:dyDescent="0.25">
      <c r="A21" s="299" t="s">
        <v>15</v>
      </c>
      <c r="B21" s="12" t="s">
        <v>16</v>
      </c>
      <c r="C21" s="32">
        <v>16.996436194063726</v>
      </c>
      <c r="E21" s="16">
        <v>1.0266231061070386</v>
      </c>
      <c r="F21" s="16">
        <v>0.96740315490345097</v>
      </c>
      <c r="G21" s="16">
        <v>0.87291351631411374</v>
      </c>
      <c r="H21" s="16">
        <v>0.76134258266841925</v>
      </c>
      <c r="J21" s="16">
        <v>1.241514936162929</v>
      </c>
      <c r="K21" s="16">
        <v>1.1926705417257324</v>
      </c>
      <c r="L21" s="16">
        <v>0.8778280030208947</v>
      </c>
      <c r="M21" s="16">
        <v>0.9277228070764636</v>
      </c>
    </row>
    <row r="22" spans="1:13" ht="15.75" x14ac:dyDescent="0.25">
      <c r="A22" s="299" t="s">
        <v>17</v>
      </c>
      <c r="B22" s="12" t="s">
        <v>18</v>
      </c>
      <c r="C22" s="32">
        <v>19.386688704739193</v>
      </c>
      <c r="E22" s="16">
        <v>2.5494350460621149</v>
      </c>
      <c r="F22" s="16">
        <v>3.2525603025143681</v>
      </c>
      <c r="G22" s="16">
        <v>6.0710454019166349</v>
      </c>
      <c r="H22" s="16">
        <v>4.9521543092223084</v>
      </c>
      <c r="J22" s="16">
        <v>2.4401542166498729</v>
      </c>
      <c r="K22" s="16">
        <v>3.6218192004437384</v>
      </c>
      <c r="L22" s="16">
        <v>5.4391423681967837</v>
      </c>
      <c r="M22" s="16">
        <v>4.1192360409494313</v>
      </c>
    </row>
    <row r="23" spans="1:13" ht="15.75" x14ac:dyDescent="0.25">
      <c r="A23" s="299" t="s">
        <v>19</v>
      </c>
      <c r="B23" s="12" t="s">
        <v>20</v>
      </c>
      <c r="C23" s="32">
        <v>99.167648805774306</v>
      </c>
      <c r="E23" s="16">
        <v>1.4219138242335987</v>
      </c>
      <c r="F23" s="16">
        <v>2.0924276696823654</v>
      </c>
      <c r="G23" s="16">
        <v>2.5494514226170253</v>
      </c>
      <c r="H23" s="16">
        <v>2.2508794538851191</v>
      </c>
      <c r="J23" s="16">
        <v>1.4102447394784576</v>
      </c>
      <c r="K23" s="16">
        <v>2.3656595351798444</v>
      </c>
      <c r="L23" s="16">
        <v>2.4059002226360633</v>
      </c>
      <c r="M23" s="16">
        <v>2.1184762025781936</v>
      </c>
    </row>
    <row r="24" spans="1:13" ht="15.75" x14ac:dyDescent="0.25">
      <c r="A24" s="299" t="s">
        <v>21</v>
      </c>
      <c r="B24" s="12" t="s">
        <v>22</v>
      </c>
      <c r="C24" s="32">
        <v>47.441434672103256</v>
      </c>
      <c r="E24" s="16">
        <v>4.1133954145429357</v>
      </c>
      <c r="F24" s="16">
        <v>4.1742382327070686</v>
      </c>
      <c r="G24" s="16">
        <v>3.7089044949105698</v>
      </c>
      <c r="H24" s="16">
        <v>3.4219610320912466</v>
      </c>
      <c r="J24" s="16">
        <v>4.1830156517054036</v>
      </c>
      <c r="K24" s="16">
        <v>3.5118922515869428</v>
      </c>
      <c r="L24" s="16">
        <v>4.0090788372795032</v>
      </c>
      <c r="M24" s="16">
        <v>3.2996928440561533</v>
      </c>
    </row>
    <row r="25" spans="1:13" ht="15.75" x14ac:dyDescent="0.25">
      <c r="A25" s="299" t="s">
        <v>23</v>
      </c>
      <c r="B25" s="13" t="s">
        <v>24</v>
      </c>
      <c r="C25" s="32">
        <v>46.609083477877547</v>
      </c>
      <c r="E25" s="16">
        <v>2.2310907392310924</v>
      </c>
      <c r="F25" s="16">
        <v>4.3102588595141071</v>
      </c>
      <c r="G25" s="16">
        <v>4.2879151167066709</v>
      </c>
      <c r="H25" s="16">
        <v>3.4617253554208673</v>
      </c>
      <c r="J25" s="16">
        <v>2.2315080773700089</v>
      </c>
      <c r="K25" s="16">
        <v>4.2144287076606446</v>
      </c>
      <c r="L25" s="16">
        <v>4.2560516343704364</v>
      </c>
      <c r="M25" s="16">
        <v>3.110155792968655</v>
      </c>
    </row>
    <row r="26" spans="1:13" x14ac:dyDescent="0.25">
      <c r="A26" s="11"/>
      <c r="B26" s="12"/>
    </row>
    <row r="27" spans="1:13" ht="17.25" x14ac:dyDescent="0.25">
      <c r="A27" s="14" t="s">
        <v>25</v>
      </c>
      <c r="B27" s="12" t="s">
        <v>26</v>
      </c>
      <c r="E27" s="16">
        <v>0.86319549726918865</v>
      </c>
      <c r="F27" s="16">
        <v>1.008413552834881</v>
      </c>
      <c r="G27" s="16">
        <v>0.81855016866782648</v>
      </c>
      <c r="H27" s="16">
        <v>0.82481965211339059</v>
      </c>
      <c r="J27" s="16">
        <v>0.86319549726918865</v>
      </c>
      <c r="K27" s="16">
        <v>0.69846791505305816</v>
      </c>
      <c r="L27" s="16">
        <v>0.58508385398337737</v>
      </c>
      <c r="M27" s="16">
        <v>0.45415574721525331</v>
      </c>
    </row>
    <row r="28" spans="1:13" ht="17.25" x14ac:dyDescent="0.25">
      <c r="A28" s="14" t="s">
        <v>27</v>
      </c>
      <c r="B28" s="12" t="s">
        <v>28</v>
      </c>
      <c r="E28" s="16">
        <v>6.5091484779436275</v>
      </c>
      <c r="F28" s="16">
        <v>6.5055282541897537</v>
      </c>
      <c r="G28" s="16">
        <v>6.564029737387445</v>
      </c>
      <c r="H28" s="16">
        <v>6.5754341787099646</v>
      </c>
      <c r="J28" s="16">
        <v>6.5091484776380426</v>
      </c>
      <c r="K28" s="16">
        <v>6.5148294583061093</v>
      </c>
      <c r="L28" s="16">
        <v>6.4592334786708445</v>
      </c>
      <c r="M28" s="16">
        <v>6.4636810977098103</v>
      </c>
    </row>
    <row r="29" spans="1:13" x14ac:dyDescent="0.25">
      <c r="A29" s="11"/>
      <c r="B29" s="12"/>
    </row>
    <row r="30" spans="1:13" x14ac:dyDescent="0.25">
      <c r="A30" s="11" t="s">
        <v>29</v>
      </c>
      <c r="B30" s="12" t="s">
        <v>30</v>
      </c>
      <c r="E30" s="16">
        <v>2.7280502823917292</v>
      </c>
      <c r="F30" s="16">
        <v>4.354920563960925</v>
      </c>
      <c r="G30" s="16">
        <v>4.3898441459209723</v>
      </c>
      <c r="H30" s="16">
        <v>4.5446318611011334</v>
      </c>
      <c r="J30" s="16">
        <v>2.7255972105908528</v>
      </c>
      <c r="K30" s="16">
        <v>3.5959569895884758</v>
      </c>
      <c r="L30" s="16">
        <v>3.8835519444391613</v>
      </c>
      <c r="M30" s="16">
        <v>4.0804600399861775</v>
      </c>
    </row>
    <row r="31" spans="1:13" x14ac:dyDescent="0.25">
      <c r="A31" s="15" t="s">
        <v>31</v>
      </c>
      <c r="B31" s="13" t="s">
        <v>32</v>
      </c>
      <c r="E31" s="16">
        <v>1.2338337492588238</v>
      </c>
      <c r="F31" s="16">
        <v>2.3555582247092435</v>
      </c>
      <c r="G31" s="16">
        <v>1.8443429415765364</v>
      </c>
      <c r="H31" s="16">
        <v>2.0570994296311578</v>
      </c>
      <c r="J31" s="16">
        <v>1.2327242818869015</v>
      </c>
      <c r="K31" s="16">
        <v>1.1249379191629199</v>
      </c>
      <c r="L31" s="16">
        <v>1.2303926564598275</v>
      </c>
      <c r="M31" s="16">
        <v>1.4790873075753839</v>
      </c>
    </row>
    <row r="32" spans="1:13" x14ac:dyDescent="0.25">
      <c r="A32" s="11"/>
      <c r="B32" s="12"/>
    </row>
    <row r="33" spans="1:13" x14ac:dyDescent="0.25">
      <c r="A33" s="11" t="s">
        <v>33</v>
      </c>
      <c r="B33" s="12" t="s">
        <v>34</v>
      </c>
      <c r="E33" s="16">
        <v>5.2642832390825163</v>
      </c>
      <c r="F33" s="16">
        <v>2.4906724436707606</v>
      </c>
      <c r="G33" s="16">
        <v>2.087593294567597</v>
      </c>
      <c r="H33" s="16">
        <v>1.9766927674255328</v>
      </c>
      <c r="J33" s="16">
        <v>5.2642832390825163</v>
      </c>
      <c r="K33" s="16">
        <v>2.357799200344374</v>
      </c>
      <c r="L33" s="16">
        <v>1.9997807425409917</v>
      </c>
      <c r="M33" s="16">
        <v>1.9371263008756614</v>
      </c>
    </row>
    <row r="34" spans="1:13" ht="15.75" x14ac:dyDescent="0.25">
      <c r="A34" s="299" t="s">
        <v>846</v>
      </c>
      <c r="B34" s="12" t="s">
        <v>703</v>
      </c>
      <c r="E34" s="16">
        <v>-8.9092019364545791</v>
      </c>
      <c r="F34" s="16">
        <v>1.9157347804241454</v>
      </c>
      <c r="G34" s="16">
        <v>0.36758997493204504</v>
      </c>
      <c r="H34" s="16">
        <v>-0.64928960826506454</v>
      </c>
      <c r="J34" s="16">
        <v>-8.9092019364545791</v>
      </c>
      <c r="K34" s="16">
        <v>3.6141984105688323</v>
      </c>
      <c r="L34" s="16">
        <v>2.1580192598809447</v>
      </c>
      <c r="M34" s="16">
        <v>0.58776933826480615</v>
      </c>
    </row>
    <row r="35" spans="1:13" ht="15.75" x14ac:dyDescent="0.25">
      <c r="A35" s="299" t="s">
        <v>907</v>
      </c>
      <c r="B35" s="12" t="s">
        <v>908</v>
      </c>
      <c r="E35" s="16">
        <v>9.2039870644398292</v>
      </c>
      <c r="F35" s="16">
        <v>3.1165032433263917</v>
      </c>
      <c r="G35" s="16">
        <v>1.8286635673845524</v>
      </c>
      <c r="H35" s="16">
        <v>1.6695414629761132</v>
      </c>
      <c r="J35" s="16">
        <v>9.2039870644398292</v>
      </c>
      <c r="K35" s="16">
        <v>3.0211879290098267</v>
      </c>
      <c r="L35" s="16">
        <v>1.298043332034311</v>
      </c>
      <c r="M35" s="16">
        <v>1.5113192756727472</v>
      </c>
    </row>
    <row r="36" spans="1:13" ht="15.75" x14ac:dyDescent="0.25">
      <c r="A36" s="299" t="s">
        <v>35</v>
      </c>
      <c r="B36" s="12" t="s">
        <v>37</v>
      </c>
      <c r="E36" s="16">
        <v>6.5476591444931103</v>
      </c>
      <c r="F36" s="16">
        <v>2.5256114528907858</v>
      </c>
      <c r="G36" s="16">
        <v>2.1940549193112844</v>
      </c>
      <c r="H36" s="16">
        <v>2.1356599585462988</v>
      </c>
      <c r="J36" s="16">
        <v>6.5476591444931103</v>
      </c>
      <c r="K36" s="16">
        <v>2.2791733895890331</v>
      </c>
      <c r="L36" s="16">
        <v>1.9902956271003802</v>
      </c>
      <c r="M36" s="16">
        <v>2.0220270430885563</v>
      </c>
    </row>
    <row r="37" spans="1:13" ht="15.75" x14ac:dyDescent="0.25">
      <c r="A37" s="299" t="s">
        <v>36</v>
      </c>
      <c r="B37" s="12" t="s">
        <v>38</v>
      </c>
      <c r="E37" s="16">
        <v>5.369800340933196</v>
      </c>
      <c r="F37" s="16">
        <v>2.3197031273705022</v>
      </c>
      <c r="G37" s="16">
        <v>2.3174845737137275</v>
      </c>
      <c r="H37" s="16">
        <v>2.2952439482895528</v>
      </c>
      <c r="J37" s="16">
        <v>5.369800340933196</v>
      </c>
      <c r="K37" s="16">
        <v>2.0207849423503603</v>
      </c>
      <c r="L37" s="16">
        <v>2.2275851175757282</v>
      </c>
      <c r="M37" s="16">
        <v>2.1964871288060976</v>
      </c>
    </row>
    <row r="38" spans="1:13" x14ac:dyDescent="0.25">
      <c r="A38" s="11"/>
      <c r="B38" s="12"/>
    </row>
    <row r="39" spans="1:13" x14ac:dyDescent="0.25">
      <c r="A39" s="11" t="s">
        <v>39</v>
      </c>
      <c r="B39" s="8" t="s">
        <v>42</v>
      </c>
      <c r="E39" s="16">
        <v>1.2028129845320308</v>
      </c>
      <c r="F39" s="16">
        <v>1.0381781267832153</v>
      </c>
      <c r="G39" s="16">
        <v>0.77930604873854037</v>
      </c>
      <c r="H39" s="16">
        <v>0.64383200897386672</v>
      </c>
      <c r="J39" s="16" t="s">
        <v>41</v>
      </c>
      <c r="K39" s="16" t="s">
        <v>41</v>
      </c>
      <c r="L39" s="16" t="s">
        <v>41</v>
      </c>
      <c r="M39" s="16" t="s">
        <v>41</v>
      </c>
    </row>
    <row r="40" spans="1:13" x14ac:dyDescent="0.25">
      <c r="A40" s="11" t="s">
        <v>40</v>
      </c>
      <c r="B40" s="12" t="s">
        <v>43</v>
      </c>
      <c r="E40" s="16">
        <v>99.089225976140199</v>
      </c>
      <c r="F40" s="16">
        <v>92.486423438461671</v>
      </c>
      <c r="G40" s="16">
        <v>87.220414196476796</v>
      </c>
      <c r="H40" s="16">
        <v>82.658472523328115</v>
      </c>
      <c r="J40" s="16" t="s">
        <v>41</v>
      </c>
      <c r="K40" s="16" t="s">
        <v>41</v>
      </c>
      <c r="L40" s="16" t="s">
        <v>41</v>
      </c>
      <c r="M40" s="16" t="s">
        <v>41</v>
      </c>
    </row>
    <row r="42" spans="1:13" x14ac:dyDescent="0.25">
      <c r="A42" t="s">
        <v>909</v>
      </c>
    </row>
    <row r="43" spans="1:13" x14ac:dyDescent="0.25">
      <c r="A43" s="8" t="s">
        <v>910</v>
      </c>
    </row>
  </sheetData>
  <mergeCells count="4">
    <mergeCell ref="E14:H14"/>
    <mergeCell ref="J14:M14"/>
    <mergeCell ref="E15:H15"/>
    <mergeCell ref="J15:M15"/>
  </mergeCells>
  <hyperlinks>
    <hyperlink ref="A5" location="Índice!A1" display="Índice/Contents" xr:uid="{9A746043-27C6-40CA-B6EF-6EDDEC4B7AD2}"/>
  </hyperlink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A5FE-D3A3-484B-AC4A-4EA2EAFA0B3E}">
  <sheetPr codeName="Sheet11"/>
  <dimension ref="A5:R40"/>
  <sheetViews>
    <sheetView topLeftCell="A6" zoomScaleNormal="100" workbookViewId="0">
      <selection activeCell="C33" sqref="C33"/>
    </sheetView>
  </sheetViews>
  <sheetFormatPr defaultRowHeight="15" x14ac:dyDescent="0.25"/>
  <cols>
    <col min="1" max="1" width="61.140625" customWidth="1"/>
    <col min="2" max="6" width="15" bestFit="1" customWidth="1"/>
    <col min="7" max="14" width="12" customWidth="1"/>
  </cols>
  <sheetData>
    <row r="5" spans="1:18" ht="36" customHeight="1" x14ac:dyDescent="0.25">
      <c r="A5" s="10" t="s">
        <v>3</v>
      </c>
    </row>
    <row r="6" spans="1:18" ht="18.75" x14ac:dyDescent="0.25">
      <c r="A6" s="6" t="s">
        <v>179</v>
      </c>
    </row>
    <row r="7" spans="1:18" x14ac:dyDescent="0.25">
      <c r="A7" s="78" t="s">
        <v>182</v>
      </c>
    </row>
    <row r="8" spans="1:18" ht="18.75" x14ac:dyDescent="0.25">
      <c r="A8" s="6"/>
    </row>
    <row r="9" spans="1:18" x14ac:dyDescent="0.25">
      <c r="A9" s="7"/>
    </row>
    <row r="10" spans="1:18" x14ac:dyDescent="0.25">
      <c r="A10" t="s">
        <v>1040</v>
      </c>
    </row>
    <row r="11" spans="1:18" x14ac:dyDescent="0.25">
      <c r="A11" s="8" t="s">
        <v>1041</v>
      </c>
    </row>
    <row r="13" spans="1:18" x14ac:dyDescent="0.25">
      <c r="A13" s="9" t="s">
        <v>2</v>
      </c>
      <c r="B13" s="17" t="s">
        <v>1042</v>
      </c>
      <c r="C13" s="17" t="s">
        <v>1042</v>
      </c>
      <c r="D13" s="17" t="s">
        <v>1042</v>
      </c>
      <c r="E13" s="17" t="s">
        <v>1042</v>
      </c>
      <c r="F13" s="17" t="s">
        <v>1042</v>
      </c>
      <c r="G13" s="17"/>
      <c r="H13" s="17"/>
      <c r="I13" s="17"/>
      <c r="J13" s="17"/>
      <c r="K13" s="17"/>
      <c r="L13" s="17"/>
      <c r="M13" s="17"/>
      <c r="N13" s="17"/>
      <c r="O13" s="17"/>
      <c r="P13" s="17"/>
      <c r="Q13" s="17"/>
      <c r="R13" s="17"/>
    </row>
    <row r="14" spans="1:18" ht="15" customHeight="1" x14ac:dyDescent="0.25">
      <c r="B14" s="249" t="s">
        <v>1043</v>
      </c>
      <c r="C14" s="249" t="s">
        <v>1043</v>
      </c>
      <c r="D14" s="249" t="s">
        <v>1043</v>
      </c>
      <c r="E14" s="249" t="s">
        <v>1043</v>
      </c>
      <c r="F14" s="249" t="s">
        <v>1043</v>
      </c>
      <c r="G14" s="31"/>
      <c r="H14" s="31"/>
      <c r="I14" s="31"/>
      <c r="J14" s="31"/>
      <c r="K14" s="31"/>
      <c r="L14" s="31"/>
      <c r="M14" s="31"/>
      <c r="N14" s="31"/>
      <c r="O14" s="31"/>
      <c r="P14" s="31"/>
      <c r="Q14" s="31"/>
      <c r="R14" s="31"/>
    </row>
    <row r="15" spans="1:18" ht="15" customHeight="1" x14ac:dyDescent="0.25">
      <c r="B15" s="17"/>
      <c r="C15" s="31"/>
      <c r="D15" s="31"/>
      <c r="E15" s="31"/>
      <c r="F15" s="31"/>
      <c r="G15" s="31"/>
      <c r="H15" s="31"/>
      <c r="I15" s="31"/>
      <c r="J15" s="31"/>
      <c r="K15" s="31"/>
      <c r="L15" s="31"/>
      <c r="M15" s="31"/>
      <c r="N15" s="31"/>
      <c r="O15" s="31"/>
      <c r="P15" s="31"/>
      <c r="Q15" s="31"/>
      <c r="R15" s="31"/>
    </row>
    <row r="16" spans="1:18" ht="15" customHeight="1" x14ac:dyDescent="0.25">
      <c r="B16" s="43" t="s">
        <v>960</v>
      </c>
      <c r="C16" s="31" t="s">
        <v>961</v>
      </c>
      <c r="D16" s="31" t="s">
        <v>230</v>
      </c>
      <c r="E16" s="421" t="s">
        <v>1044</v>
      </c>
      <c r="F16" s="421"/>
      <c r="G16" s="18"/>
      <c r="H16" s="18"/>
      <c r="I16" s="18"/>
      <c r="J16" s="18"/>
      <c r="K16" s="18"/>
      <c r="L16" s="18"/>
      <c r="M16" s="18"/>
      <c r="N16" s="18"/>
      <c r="O16" s="18"/>
      <c r="P16" s="18"/>
      <c r="Q16" s="18"/>
      <c r="R16" s="18"/>
    </row>
    <row r="17" spans="1:18" ht="15" customHeight="1" x14ac:dyDescent="0.25">
      <c r="B17" s="44" t="s">
        <v>960</v>
      </c>
      <c r="C17" s="18" t="s">
        <v>962</v>
      </c>
      <c r="D17" s="18" t="s">
        <v>236</v>
      </c>
      <c r="E17" s="422" t="s">
        <v>1045</v>
      </c>
      <c r="F17" s="422"/>
      <c r="G17" s="18"/>
      <c r="H17" s="18"/>
      <c r="I17" s="18"/>
      <c r="J17" s="18"/>
      <c r="K17" s="18"/>
      <c r="L17" s="18"/>
      <c r="M17" s="18"/>
      <c r="N17" s="18"/>
      <c r="O17" s="18"/>
      <c r="P17" s="18"/>
      <c r="Q17" s="18"/>
      <c r="R17" s="18"/>
    </row>
    <row r="18" spans="1:18" x14ac:dyDescent="0.25">
      <c r="A18" t="s">
        <v>1046</v>
      </c>
      <c r="B18" s="91">
        <v>100</v>
      </c>
      <c r="C18" s="91">
        <v>100</v>
      </c>
      <c r="D18">
        <v>100</v>
      </c>
      <c r="E18">
        <v>100</v>
      </c>
      <c r="F18">
        <v>100</v>
      </c>
    </row>
    <row r="19" spans="1:18" x14ac:dyDescent="0.25">
      <c r="A19" t="s">
        <v>1047</v>
      </c>
      <c r="B19" s="91">
        <v>91.699483560995176</v>
      </c>
      <c r="C19" s="91">
        <v>93.751694397408869</v>
      </c>
      <c r="D19" s="91">
        <v>95.780865501887831</v>
      </c>
      <c r="E19" s="91">
        <v>91.807286817052599</v>
      </c>
      <c r="F19" s="91">
        <v>96.913745964476377</v>
      </c>
    </row>
    <row r="20" spans="1:18" x14ac:dyDescent="0.25">
      <c r="A20" t="s">
        <v>1048</v>
      </c>
      <c r="B20" s="91">
        <v>96.960683664453001</v>
      </c>
      <c r="C20" s="91">
        <v>99.271803288663762</v>
      </c>
      <c r="D20" s="91">
        <v>101.66985942913408</v>
      </c>
      <c r="E20" s="91">
        <v>98.430374774033936</v>
      </c>
      <c r="F20" s="91">
        <v>104.26066069955547</v>
      </c>
      <c r="G20" s="16"/>
      <c r="H20" s="16"/>
      <c r="I20" s="16"/>
      <c r="J20" s="16"/>
      <c r="K20" s="16"/>
      <c r="L20" s="16"/>
      <c r="M20" s="16"/>
      <c r="N20" s="16"/>
      <c r="O20" s="16"/>
      <c r="P20" s="16"/>
      <c r="Q20" s="16"/>
      <c r="R20" s="16"/>
    </row>
    <row r="21" spans="1:18" x14ac:dyDescent="0.25">
      <c r="A21" t="s">
        <v>1049</v>
      </c>
      <c r="B21" s="91">
        <v>103.58068484195751</v>
      </c>
      <c r="C21" s="91">
        <v>102.72392255536735</v>
      </c>
      <c r="D21" s="91">
        <v>105.05827100637424</v>
      </c>
      <c r="E21" s="91">
        <v>102.43859792462297</v>
      </c>
      <c r="F21" s="91">
        <v>107.96164441856457</v>
      </c>
      <c r="G21" s="16"/>
      <c r="H21" s="16"/>
      <c r="I21" s="16"/>
      <c r="J21" s="16"/>
      <c r="K21" s="16"/>
      <c r="L21" s="16"/>
      <c r="M21" s="16"/>
      <c r="N21" s="16"/>
      <c r="O21" s="16"/>
      <c r="P21" s="16"/>
      <c r="Q21" s="16"/>
      <c r="R21" s="16"/>
    </row>
    <row r="22" spans="1:18" x14ac:dyDescent="0.25">
      <c r="A22" t="s">
        <v>1050</v>
      </c>
      <c r="B22" s="91">
        <v>105.92290815066082</v>
      </c>
      <c r="C22" s="91">
        <v>103.30682751742115</v>
      </c>
      <c r="D22" s="91">
        <v>105.81900496233142</v>
      </c>
      <c r="E22" s="91">
        <v>102.72625251853138</v>
      </c>
      <c r="F22" s="91">
        <v>108.04658094014887</v>
      </c>
      <c r="G22" s="16"/>
      <c r="H22" s="16"/>
      <c r="I22" s="16"/>
    </row>
    <row r="23" spans="1:18" x14ac:dyDescent="0.25">
      <c r="A23" t="s">
        <v>9</v>
      </c>
      <c r="B23" s="91">
        <v>108.08077005604626</v>
      </c>
      <c r="C23" s="91">
        <v>104.21246642837308</v>
      </c>
      <c r="D23" s="91">
        <v>107.71927754406207</v>
      </c>
      <c r="E23" s="91">
        <v>103.79074404404396</v>
      </c>
      <c r="F23" s="91">
        <v>110.5871797780871</v>
      </c>
      <c r="G23" s="16"/>
      <c r="H23" s="16"/>
      <c r="I23" s="16"/>
      <c r="J23" s="16"/>
      <c r="K23" s="16"/>
      <c r="L23" s="16"/>
      <c r="M23" s="16"/>
      <c r="N23" s="16"/>
      <c r="O23" s="16"/>
      <c r="P23" s="16"/>
      <c r="Q23" s="16"/>
      <c r="R23" s="16"/>
    </row>
    <row r="24" spans="1:18" x14ac:dyDescent="0.25">
      <c r="A24" t="s">
        <v>10</v>
      </c>
      <c r="B24" s="91">
        <v>110.5598382148895</v>
      </c>
      <c r="C24" s="91">
        <v>105.71736810407279</v>
      </c>
      <c r="D24" s="91">
        <v>110.4549638137875</v>
      </c>
      <c r="E24" s="91">
        <v>105.86139960533072</v>
      </c>
      <c r="F24" s="91">
        <v>113.56799901896208</v>
      </c>
      <c r="G24" s="16"/>
      <c r="H24" s="16"/>
      <c r="I24" s="16"/>
      <c r="J24" s="16"/>
      <c r="K24" s="16"/>
      <c r="L24" s="16"/>
      <c r="M24" s="16"/>
      <c r="N24" s="16"/>
      <c r="O24" s="16"/>
      <c r="P24" s="16"/>
      <c r="Q24" s="16"/>
      <c r="R24" s="16"/>
    </row>
    <row r="25" spans="1:18" x14ac:dyDescent="0.25">
      <c r="A25" t="s">
        <v>1051</v>
      </c>
      <c r="B25" s="91">
        <v>113.02941726583751</v>
      </c>
      <c r="C25" s="91">
        <v>107.38992337007578</v>
      </c>
      <c r="D25" s="91">
        <v>113.07755043446753</v>
      </c>
      <c r="E25" s="91">
        <v>108.08874279278436</v>
      </c>
      <c r="F25" s="91">
        <v>116.84822262232206</v>
      </c>
    </row>
    <row r="26" spans="1:18" x14ac:dyDescent="0.25">
      <c r="A26" s="19"/>
      <c r="B26" s="19"/>
      <c r="C26" s="19"/>
      <c r="D26" s="19"/>
      <c r="E26" s="19"/>
      <c r="F26" s="19"/>
      <c r="G26" s="16"/>
      <c r="H26" s="16"/>
      <c r="I26" s="16"/>
    </row>
    <row r="27" spans="1:18" x14ac:dyDescent="0.25">
      <c r="A27" s="25"/>
      <c r="B27" s="26"/>
      <c r="C27" s="27"/>
      <c r="D27" s="27"/>
      <c r="E27" s="27"/>
      <c r="F27" s="27"/>
      <c r="G27" s="16"/>
      <c r="H27" s="16"/>
      <c r="I27" s="16"/>
    </row>
    <row r="28" spans="1:18" x14ac:dyDescent="0.25">
      <c r="A28" s="28" t="s">
        <v>1533</v>
      </c>
      <c r="B28" s="25"/>
      <c r="C28" s="19"/>
      <c r="D28" s="19"/>
      <c r="E28" s="19"/>
      <c r="F28" s="19"/>
    </row>
    <row r="29" spans="1:18" x14ac:dyDescent="0.25">
      <c r="A29" s="29" t="s">
        <v>1532</v>
      </c>
      <c r="B29" s="25"/>
      <c r="C29" s="19"/>
      <c r="D29" s="19"/>
      <c r="E29" s="19"/>
      <c r="F29" s="19"/>
      <c r="G29" s="16"/>
      <c r="H29" s="16"/>
      <c r="I29" s="16"/>
    </row>
    <row r="30" spans="1:18" x14ac:dyDescent="0.25">
      <c r="A30" s="15"/>
      <c r="B30" s="13"/>
      <c r="C30" s="16"/>
      <c r="D30" s="16"/>
      <c r="F30" s="16"/>
      <c r="G30" s="16"/>
      <c r="H30" s="16"/>
      <c r="I30" s="16"/>
    </row>
    <row r="31" spans="1:18" x14ac:dyDescent="0.25">
      <c r="A31" s="11"/>
      <c r="B31" s="12"/>
    </row>
    <row r="34" spans="1:9" x14ac:dyDescent="0.25">
      <c r="A34" s="11"/>
      <c r="B34" s="12"/>
      <c r="C34" s="16"/>
      <c r="D34" s="16"/>
      <c r="F34" s="16"/>
      <c r="G34" s="16"/>
      <c r="H34" s="16"/>
      <c r="I34" s="16"/>
    </row>
    <row r="35" spans="1:9" x14ac:dyDescent="0.25">
      <c r="A35" s="11"/>
      <c r="B35" s="12"/>
    </row>
    <row r="36" spans="1:9" x14ac:dyDescent="0.25">
      <c r="A36" s="11"/>
      <c r="B36" s="8"/>
      <c r="C36" s="16"/>
      <c r="D36" s="16"/>
      <c r="F36" s="16"/>
      <c r="G36" s="16"/>
      <c r="H36" s="16"/>
      <c r="I36" s="16"/>
    </row>
    <row r="37" spans="1:9" x14ac:dyDescent="0.25">
      <c r="A37" s="11"/>
      <c r="B37" s="12"/>
      <c r="C37" s="16"/>
      <c r="D37" s="16"/>
      <c r="F37" s="16"/>
      <c r="G37" s="16"/>
      <c r="H37" s="16"/>
      <c r="I37" s="16"/>
    </row>
    <row r="40" spans="1:9" x14ac:dyDescent="0.25">
      <c r="A40" s="8"/>
    </row>
  </sheetData>
  <mergeCells count="2">
    <mergeCell ref="E16:F16"/>
    <mergeCell ref="E17:F17"/>
  </mergeCells>
  <hyperlinks>
    <hyperlink ref="A5" location="Índice!A1" display="Índice/Contents" xr:uid="{276C3843-CB83-4A8F-8C67-C3ED7DA5FC0E}"/>
  </hyperlinks>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DA82-2BF4-4DE1-B85D-AB0C83F574E8}">
  <sheetPr codeName="Sheet21"/>
  <dimension ref="A5:R38"/>
  <sheetViews>
    <sheetView showGridLines="0" zoomScaleNormal="100" workbookViewId="0">
      <selection activeCell="C33" sqref="C33"/>
    </sheetView>
  </sheetViews>
  <sheetFormatPr defaultRowHeight="15" x14ac:dyDescent="0.25"/>
  <cols>
    <col min="1" max="1" width="61.140625" customWidth="1"/>
    <col min="2" max="2" width="59" customWidth="1"/>
    <col min="3" max="14" width="12" customWidth="1"/>
  </cols>
  <sheetData>
    <row r="5" spans="1:18" ht="36" customHeight="1" x14ac:dyDescent="0.25">
      <c r="A5" s="10" t="s">
        <v>3</v>
      </c>
    </row>
    <row r="6" spans="1:18" ht="18.75" x14ac:dyDescent="0.25">
      <c r="A6" s="6" t="s">
        <v>179</v>
      </c>
    </row>
    <row r="7" spans="1:18" x14ac:dyDescent="0.25">
      <c r="A7" s="78" t="s">
        <v>182</v>
      </c>
    </row>
    <row r="8" spans="1:18" ht="18.75" x14ac:dyDescent="0.25">
      <c r="A8" s="6"/>
    </row>
    <row r="9" spans="1:18" x14ac:dyDescent="0.25">
      <c r="A9" s="7"/>
    </row>
    <row r="10" spans="1:18" x14ac:dyDescent="0.25">
      <c r="A10" t="s">
        <v>1054</v>
      </c>
    </row>
    <row r="11" spans="1:18" x14ac:dyDescent="0.25">
      <c r="A11" s="8" t="s">
        <v>1055</v>
      </c>
    </row>
    <row r="13" spans="1:18" x14ac:dyDescent="0.25">
      <c r="A13" s="9" t="s">
        <v>2</v>
      </c>
      <c r="C13" s="17" t="s">
        <v>4</v>
      </c>
      <c r="D13" s="17" t="s">
        <v>4</v>
      </c>
      <c r="E13" s="17" t="s">
        <v>4</v>
      </c>
      <c r="F13" s="17" t="s">
        <v>4</v>
      </c>
      <c r="G13" s="17" t="s">
        <v>4</v>
      </c>
      <c r="H13" s="17" t="s">
        <v>4</v>
      </c>
      <c r="I13" s="17" t="s">
        <v>4</v>
      </c>
      <c r="J13" s="17" t="s">
        <v>4</v>
      </c>
      <c r="K13" s="17" t="s">
        <v>4</v>
      </c>
      <c r="L13" s="17" t="s">
        <v>4</v>
      </c>
      <c r="M13" s="17" t="s">
        <v>4</v>
      </c>
      <c r="N13" s="17" t="s">
        <v>4</v>
      </c>
      <c r="O13" s="17" t="s">
        <v>4</v>
      </c>
      <c r="P13" s="17" t="s">
        <v>4</v>
      </c>
      <c r="Q13" s="17" t="s">
        <v>4</v>
      </c>
      <c r="R13" s="17" t="s">
        <v>4</v>
      </c>
    </row>
    <row r="14" spans="1:18" ht="15" customHeight="1" x14ac:dyDescent="0.25">
      <c r="C14" s="31" t="s">
        <v>1056</v>
      </c>
      <c r="D14" s="31" t="s">
        <v>1057</v>
      </c>
      <c r="E14" s="31" t="s">
        <v>1058</v>
      </c>
      <c r="F14" s="31" t="s">
        <v>1059</v>
      </c>
      <c r="G14" s="31" t="s">
        <v>1060</v>
      </c>
      <c r="H14" s="31" t="s">
        <v>1061</v>
      </c>
      <c r="I14" s="31" t="s">
        <v>1062</v>
      </c>
      <c r="J14" s="31" t="s">
        <v>1063</v>
      </c>
      <c r="K14" s="31" t="s">
        <v>1064</v>
      </c>
      <c r="L14" s="31" t="s">
        <v>1065</v>
      </c>
      <c r="M14" s="31" t="s">
        <v>1066</v>
      </c>
      <c r="N14" s="31" t="s">
        <v>1067</v>
      </c>
      <c r="O14" s="31" t="s">
        <v>1068</v>
      </c>
      <c r="P14" s="31" t="s">
        <v>1069</v>
      </c>
      <c r="Q14" s="31" t="s">
        <v>1070</v>
      </c>
      <c r="R14" s="31" t="s">
        <v>1071</v>
      </c>
    </row>
    <row r="15" spans="1:18" ht="15" customHeight="1" x14ac:dyDescent="0.25">
      <c r="C15" s="18" t="s">
        <v>1072</v>
      </c>
      <c r="D15" s="18" t="s">
        <v>1073</v>
      </c>
      <c r="E15" s="18" t="s">
        <v>1074</v>
      </c>
      <c r="F15" s="18" t="s">
        <v>1075</v>
      </c>
      <c r="G15" s="18" t="s">
        <v>1076</v>
      </c>
      <c r="H15" s="18" t="s">
        <v>1077</v>
      </c>
      <c r="I15" s="18" t="s">
        <v>1078</v>
      </c>
      <c r="J15" s="18" t="s">
        <v>1079</v>
      </c>
      <c r="K15" s="18" t="s">
        <v>1080</v>
      </c>
      <c r="L15" s="18" t="s">
        <v>1081</v>
      </c>
      <c r="M15" s="18" t="s">
        <v>1082</v>
      </c>
      <c r="N15" s="18" t="s">
        <v>1083</v>
      </c>
      <c r="O15" s="18" t="s">
        <v>1084</v>
      </c>
      <c r="P15" s="18" t="s">
        <v>1085</v>
      </c>
      <c r="Q15" s="18" t="s">
        <v>1086</v>
      </c>
      <c r="R15" s="18" t="s">
        <v>1087</v>
      </c>
    </row>
    <row r="17" spans="1:18" x14ac:dyDescent="0.25">
      <c r="A17" t="s">
        <v>1088</v>
      </c>
      <c r="B17" t="s">
        <v>1089</v>
      </c>
    </row>
    <row r="18" spans="1:18" x14ac:dyDescent="0.25">
      <c r="A18" s="33" t="s">
        <v>1090</v>
      </c>
      <c r="B18" s="20" t="s">
        <v>1091</v>
      </c>
      <c r="C18" s="16">
        <v>1.4642899897678916</v>
      </c>
      <c r="D18" s="16">
        <v>0.10359565389860848</v>
      </c>
      <c r="E18" s="16">
        <v>-0.2275363286266554</v>
      </c>
      <c r="F18" s="16">
        <v>0.72057319393643127</v>
      </c>
      <c r="G18" s="16">
        <v>0.68377563319334911</v>
      </c>
      <c r="H18" s="16">
        <v>0.60021211293491206</v>
      </c>
      <c r="I18" s="16">
        <v>0.59382076716178744</v>
      </c>
      <c r="J18" s="16">
        <v>0.55435084291433157</v>
      </c>
      <c r="K18" s="16">
        <v>0.6346271018794738</v>
      </c>
      <c r="L18" s="16">
        <v>0.50438702972108729</v>
      </c>
      <c r="M18" s="16">
        <v>0.54991071198533348</v>
      </c>
      <c r="N18" s="16">
        <v>0.49654165353534552</v>
      </c>
      <c r="O18" s="16">
        <v>0.5248437717918506</v>
      </c>
      <c r="P18" s="16">
        <v>0.61664428957260498</v>
      </c>
      <c r="Q18" s="16">
        <v>0.60668882368312893</v>
      </c>
      <c r="R18" s="16">
        <v>0.60211556076079376</v>
      </c>
    </row>
    <row r="19" spans="1:18" x14ac:dyDescent="0.25">
      <c r="A19" s="33" t="s">
        <v>1092</v>
      </c>
      <c r="B19" s="20" t="s">
        <v>1093</v>
      </c>
      <c r="C19" s="22">
        <v>1.4602280128085852</v>
      </c>
      <c r="D19" s="22">
        <v>8.7780531159026509E-2</v>
      </c>
      <c r="E19" s="22">
        <v>-0.19607810790631675</v>
      </c>
      <c r="F19" s="22">
        <v>0.79644871322592792</v>
      </c>
      <c r="G19" s="16">
        <v>0.66983928804498305</v>
      </c>
      <c r="H19" s="16">
        <v>0.55876798289071417</v>
      </c>
      <c r="I19" s="16">
        <v>0.56552396278304684</v>
      </c>
      <c r="J19" s="16">
        <v>0.55192474856139029</v>
      </c>
      <c r="K19" s="16">
        <v>0.59769204055508851</v>
      </c>
      <c r="L19" s="16">
        <v>0.58541301138974688</v>
      </c>
      <c r="M19" s="16">
        <v>0.56310902379308914</v>
      </c>
      <c r="N19" s="16">
        <v>0.49053570717185835</v>
      </c>
      <c r="O19" s="16">
        <v>0.52966021888103398</v>
      </c>
      <c r="P19" s="16">
        <v>0.58876108804439298</v>
      </c>
      <c r="Q19" s="16">
        <v>0.57612743215828743</v>
      </c>
      <c r="R19" s="16">
        <v>0.54041727658342609</v>
      </c>
    </row>
    <row r="20" spans="1:18" x14ac:dyDescent="0.25">
      <c r="A20" s="23"/>
      <c r="B20" s="24"/>
      <c r="C20" s="16"/>
      <c r="D20" s="16"/>
      <c r="E20" s="16"/>
      <c r="F20" s="16"/>
      <c r="G20" s="16"/>
      <c r="H20" s="16"/>
      <c r="I20" s="16"/>
    </row>
    <row r="21" spans="1:18" x14ac:dyDescent="0.25">
      <c r="A21" t="s">
        <v>1094</v>
      </c>
      <c r="B21" t="s">
        <v>1095</v>
      </c>
      <c r="C21" s="16">
        <v>8.3943190275365822</v>
      </c>
      <c r="D21" s="16">
        <v>5.6535437707959204</v>
      </c>
      <c r="E21" s="16">
        <v>4.8143413330234068</v>
      </c>
      <c r="F21" s="16">
        <v>2.4454348074505816</v>
      </c>
      <c r="G21" s="16">
        <v>2.4631669289086204</v>
      </c>
      <c r="H21" s="16">
        <v>2.749185116833246</v>
      </c>
      <c r="I21" s="16">
        <v>2.3332741810315554</v>
      </c>
      <c r="J21" s="16">
        <v>2.4171616898357513</v>
      </c>
      <c r="K21" s="16">
        <v>1.9717338499063146</v>
      </c>
      <c r="L21" s="16">
        <v>2.0294944232437331</v>
      </c>
      <c r="M21" s="16">
        <v>2.2006849015984216</v>
      </c>
      <c r="N21" s="16">
        <v>2.1452244087217736</v>
      </c>
      <c r="O21" s="16">
        <v>2.0621913982343187</v>
      </c>
      <c r="P21" s="16">
        <v>1.9488065762515561</v>
      </c>
      <c r="Q21" s="16">
        <v>1.9135809958716266</v>
      </c>
      <c r="R21" s="16">
        <v>1.9848899113142693</v>
      </c>
    </row>
    <row r="22" spans="1:18" x14ac:dyDescent="0.25">
      <c r="A22" s="33" t="s">
        <v>1090</v>
      </c>
      <c r="B22" s="20" t="s">
        <v>1091</v>
      </c>
      <c r="C22" s="22">
        <v>8.3943190275365822</v>
      </c>
      <c r="D22" s="22">
        <v>5.6535437707959204</v>
      </c>
      <c r="E22" s="22">
        <v>4.8143413330234068</v>
      </c>
      <c r="F22" s="22">
        <v>2.4454348074505816</v>
      </c>
      <c r="G22" s="16">
        <v>2.3345524828187791</v>
      </c>
      <c r="H22" s="16">
        <v>2.6090357641478619</v>
      </c>
      <c r="I22" s="16">
        <v>2.2353349287948561</v>
      </c>
      <c r="J22" s="16">
        <v>2.2522740598375037</v>
      </c>
      <c r="K22" s="16">
        <v>1.9240392218730307</v>
      </c>
      <c r="L22" s="16">
        <v>1.8929786955293366</v>
      </c>
      <c r="M22" s="16">
        <v>2.0596440670766327</v>
      </c>
      <c r="N22" s="16">
        <v>2.120695364823888</v>
      </c>
      <c r="O22" s="16">
        <v>2.0855064706125148</v>
      </c>
      <c r="P22" s="16">
        <v>1.9645688390906457</v>
      </c>
      <c r="Q22" s="16">
        <v>1.8761986164278284</v>
      </c>
      <c r="R22" s="16">
        <v>1.8264063937756987</v>
      </c>
    </row>
    <row r="23" spans="1:18" x14ac:dyDescent="0.25">
      <c r="A23" s="33" t="s">
        <v>1092</v>
      </c>
      <c r="B23" s="20" t="s">
        <v>1093</v>
      </c>
      <c r="C23" s="22"/>
      <c r="D23" s="22"/>
      <c r="E23" s="22"/>
      <c r="F23" s="22"/>
    </row>
    <row r="24" spans="1:18" x14ac:dyDescent="0.25">
      <c r="A24" s="19"/>
      <c r="B24" s="19"/>
      <c r="C24" s="19"/>
      <c r="D24" s="19"/>
      <c r="E24" s="19"/>
      <c r="F24" s="19"/>
      <c r="G24" s="16"/>
      <c r="H24" s="16"/>
      <c r="I24" s="16"/>
    </row>
    <row r="25" spans="1:18" x14ac:dyDescent="0.25">
      <c r="A25" s="25"/>
      <c r="B25" s="26"/>
      <c r="C25" s="27"/>
      <c r="D25" s="27"/>
      <c r="E25" s="27"/>
      <c r="F25" s="27"/>
      <c r="G25" s="16"/>
      <c r="H25" s="16"/>
      <c r="I25" s="16"/>
    </row>
    <row r="26" spans="1:18" x14ac:dyDescent="0.25">
      <c r="A26" s="28" t="s">
        <v>1052</v>
      </c>
      <c r="B26" s="25"/>
      <c r="C26" s="19"/>
      <c r="D26" s="19"/>
      <c r="E26" s="19"/>
      <c r="F26" s="19"/>
    </row>
    <row r="27" spans="1:18" x14ac:dyDescent="0.25">
      <c r="A27" s="29" t="s">
        <v>1053</v>
      </c>
      <c r="B27" s="25"/>
      <c r="C27" s="19"/>
      <c r="D27" s="19"/>
      <c r="E27" s="19"/>
      <c r="F27" s="19"/>
      <c r="G27" s="16"/>
      <c r="H27" s="16"/>
      <c r="I27" s="16"/>
    </row>
    <row r="28" spans="1:18" x14ac:dyDescent="0.25">
      <c r="A28" s="15"/>
      <c r="B28" s="13"/>
      <c r="C28" s="16"/>
      <c r="D28" s="16"/>
      <c r="F28" s="16"/>
      <c r="G28" s="16"/>
      <c r="H28" s="16"/>
      <c r="I28" s="16"/>
    </row>
    <row r="29" spans="1:18" x14ac:dyDescent="0.25">
      <c r="A29" s="11"/>
      <c r="B29" s="12"/>
    </row>
    <row r="32" spans="1:18" x14ac:dyDescent="0.25">
      <c r="A32" s="11"/>
      <c r="B32" s="12"/>
      <c r="C32" s="16"/>
      <c r="D32" s="16"/>
      <c r="F32" s="16"/>
      <c r="G32" s="16"/>
      <c r="H32" s="16"/>
      <c r="I32" s="16"/>
    </row>
    <row r="33" spans="1:9" x14ac:dyDescent="0.25">
      <c r="A33" s="11"/>
      <c r="B33" s="12"/>
    </row>
    <row r="34" spans="1:9" x14ac:dyDescent="0.25">
      <c r="A34" s="11"/>
      <c r="B34" s="8"/>
      <c r="C34" s="16"/>
      <c r="D34" s="16"/>
      <c r="F34" s="16"/>
      <c r="G34" s="16"/>
      <c r="H34" s="16"/>
      <c r="I34" s="16"/>
    </row>
    <row r="35" spans="1:9" x14ac:dyDescent="0.25">
      <c r="A35" s="11"/>
      <c r="B35" s="12"/>
      <c r="C35" s="16"/>
      <c r="D35" s="16"/>
      <c r="F35" s="16"/>
      <c r="G35" s="16"/>
      <c r="H35" s="16"/>
      <c r="I35" s="16"/>
    </row>
    <row r="38" spans="1:9" x14ac:dyDescent="0.25">
      <c r="A38" s="8"/>
    </row>
  </sheetData>
  <hyperlinks>
    <hyperlink ref="A5" location="Índice!A1" display="Índice/Contents" xr:uid="{A42159A2-E780-4DEA-A560-21415F8E6B70}"/>
  </hyperlink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DED7-5210-435C-BFA4-59C5747514FA}">
  <sheetPr codeName="Sheet4"/>
  <dimension ref="A5:Q34"/>
  <sheetViews>
    <sheetView showGridLines="0" topLeftCell="A8" zoomScaleNormal="100" workbookViewId="0">
      <selection activeCell="C33" sqref="C33"/>
    </sheetView>
  </sheetViews>
  <sheetFormatPr defaultRowHeight="15" x14ac:dyDescent="0.25"/>
  <cols>
    <col min="1" max="1" width="61.140625" customWidth="1"/>
    <col min="2" max="2" width="59" customWidth="1"/>
    <col min="3" max="13" width="12" customWidth="1"/>
  </cols>
  <sheetData>
    <row r="5" spans="1:17" ht="36" customHeight="1" x14ac:dyDescent="0.25">
      <c r="A5" s="10" t="s">
        <v>3</v>
      </c>
    </row>
    <row r="6" spans="1:17" ht="18.75" x14ac:dyDescent="0.25">
      <c r="A6" s="6" t="s">
        <v>179</v>
      </c>
    </row>
    <row r="7" spans="1:17" x14ac:dyDescent="0.25">
      <c r="A7" s="78" t="s">
        <v>182</v>
      </c>
    </row>
    <row r="8" spans="1:17" ht="18.75" x14ac:dyDescent="0.25">
      <c r="A8" s="6"/>
    </row>
    <row r="9" spans="1:17" x14ac:dyDescent="0.25">
      <c r="A9" s="7"/>
    </row>
    <row r="10" spans="1:17" x14ac:dyDescent="0.25">
      <c r="A10" t="s">
        <v>1530</v>
      </c>
    </row>
    <row r="11" spans="1:17" x14ac:dyDescent="0.25">
      <c r="A11" s="8" t="s">
        <v>1531</v>
      </c>
    </row>
    <row r="13" spans="1:17" x14ac:dyDescent="0.25">
      <c r="A13" s="9" t="s">
        <v>2</v>
      </c>
      <c r="C13" s="17" t="s">
        <v>1096</v>
      </c>
      <c r="D13" s="17" t="s">
        <v>1096</v>
      </c>
      <c r="E13" s="17" t="s">
        <v>1096</v>
      </c>
      <c r="F13" s="17" t="s">
        <v>1096</v>
      </c>
      <c r="G13" s="17" t="s">
        <v>1096</v>
      </c>
      <c r="H13" s="17" t="s">
        <v>1096</v>
      </c>
      <c r="I13" s="17" t="s">
        <v>1096</v>
      </c>
      <c r="J13" s="17"/>
      <c r="K13" s="17"/>
      <c r="L13" s="17"/>
      <c r="M13" s="17"/>
      <c r="N13" s="17"/>
      <c r="O13" s="17"/>
      <c r="P13" s="17"/>
      <c r="Q13" s="17"/>
    </row>
    <row r="14" spans="1:17" ht="15" customHeight="1" x14ac:dyDescent="0.25">
      <c r="C14" s="249" t="s">
        <v>1097</v>
      </c>
      <c r="D14" s="249" t="s">
        <v>1097</v>
      </c>
      <c r="E14" s="249" t="s">
        <v>1097</v>
      </c>
      <c r="F14" s="249" t="s">
        <v>1097</v>
      </c>
      <c r="G14" s="249" t="s">
        <v>1097</v>
      </c>
      <c r="H14" s="249" t="s">
        <v>1097</v>
      </c>
      <c r="I14" s="249" t="s">
        <v>1097</v>
      </c>
      <c r="J14" s="31"/>
      <c r="K14" s="31"/>
      <c r="L14" s="31"/>
      <c r="M14" s="31"/>
      <c r="N14" s="31"/>
      <c r="O14" s="31"/>
      <c r="P14" s="31"/>
      <c r="Q14" s="31"/>
    </row>
    <row r="15" spans="1:17" ht="15" customHeight="1" x14ac:dyDescent="0.25">
      <c r="C15" s="249"/>
      <c r="D15" s="249"/>
      <c r="E15" s="249"/>
      <c r="F15" s="249"/>
      <c r="G15" s="249"/>
      <c r="H15" s="249"/>
      <c r="I15" s="249"/>
      <c r="J15" s="31"/>
      <c r="K15" s="31"/>
      <c r="L15" s="31"/>
      <c r="M15" s="31"/>
      <c r="N15" s="31"/>
      <c r="O15" s="31"/>
      <c r="P15" s="31"/>
      <c r="Q15" s="31"/>
    </row>
    <row r="16" spans="1:17" ht="15" customHeight="1" x14ac:dyDescent="0.25">
      <c r="C16" s="308" t="s">
        <v>1098</v>
      </c>
      <c r="D16" s="308" t="s">
        <v>1099</v>
      </c>
      <c r="E16" s="18"/>
      <c r="F16" s="308">
        <v>2023</v>
      </c>
      <c r="G16" s="308" t="s">
        <v>9</v>
      </c>
      <c r="H16" s="308" t="s">
        <v>10</v>
      </c>
      <c r="I16" s="308" t="s">
        <v>1051</v>
      </c>
      <c r="J16" s="18"/>
      <c r="K16" s="18"/>
      <c r="L16" s="18"/>
      <c r="M16" s="18"/>
      <c r="N16" s="18"/>
      <c r="O16" s="18"/>
      <c r="P16" s="18"/>
      <c r="Q16" s="18"/>
    </row>
    <row r="18" spans="1:17" x14ac:dyDescent="0.25">
      <c r="A18" s="309" t="s">
        <v>1100</v>
      </c>
      <c r="B18" s="8" t="s">
        <v>1101</v>
      </c>
      <c r="C18" s="16">
        <v>2.5699925963575447</v>
      </c>
      <c r="D18" s="16">
        <v>1.4214771319024215</v>
      </c>
      <c r="E18" s="16"/>
      <c r="F18" s="16">
        <v>2.2612548973556597</v>
      </c>
      <c r="G18" s="16">
        <v>2.0372003970247641</v>
      </c>
      <c r="H18" s="16">
        <v>2.2937180754335293</v>
      </c>
      <c r="I18" s="16">
        <v>2.2337035679701538</v>
      </c>
    </row>
    <row r="19" spans="1:17" x14ac:dyDescent="0.25">
      <c r="A19" s="309"/>
      <c r="B19" s="20"/>
      <c r="C19" s="16"/>
      <c r="D19" s="16"/>
      <c r="E19" s="16"/>
      <c r="F19" s="16"/>
      <c r="G19" s="16"/>
      <c r="H19" s="16"/>
      <c r="I19" s="16"/>
      <c r="J19" s="16"/>
      <c r="K19" s="16"/>
      <c r="L19" s="16"/>
      <c r="M19" s="16"/>
      <c r="N19" s="16"/>
      <c r="O19" s="16"/>
      <c r="P19" s="16"/>
      <c r="Q19" s="16"/>
    </row>
    <row r="20" spans="1:17" x14ac:dyDescent="0.25">
      <c r="A20" s="310" t="s">
        <v>21</v>
      </c>
      <c r="B20" s="311" t="s">
        <v>22</v>
      </c>
      <c r="C20" s="16">
        <v>1.1442874623924264</v>
      </c>
      <c r="D20" s="16">
        <v>0.81178612906729519</v>
      </c>
      <c r="E20" s="16"/>
      <c r="F20" s="16">
        <v>1.4230966843286548</v>
      </c>
      <c r="G20" s="16">
        <v>0.94537746801033551</v>
      </c>
      <c r="H20" s="16">
        <v>0.90067594919445682</v>
      </c>
      <c r="I20" s="16">
        <v>0.88392725788770143</v>
      </c>
    </row>
    <row r="21" spans="1:17" x14ac:dyDescent="0.25">
      <c r="A21" s="310" t="s">
        <v>1102</v>
      </c>
      <c r="B21" s="311" t="s">
        <v>1103</v>
      </c>
      <c r="C21" s="16">
        <v>0.47522374557993025</v>
      </c>
      <c r="D21" s="16">
        <v>0.18554180005929588</v>
      </c>
      <c r="E21" s="16"/>
      <c r="F21" s="16">
        <v>4.0863291923598589E-2</v>
      </c>
      <c r="G21" s="16">
        <v>0.2954908512446231</v>
      </c>
      <c r="H21" s="16">
        <v>0.59525225005299398</v>
      </c>
      <c r="I21" s="16">
        <v>0.51358366486156126</v>
      </c>
    </row>
    <row r="22" spans="1:17" x14ac:dyDescent="0.25">
      <c r="A22" s="310" t="s">
        <v>1104</v>
      </c>
      <c r="B22" s="311" t="s">
        <v>1105</v>
      </c>
      <c r="C22" s="16">
        <v>0.97506986821576891</v>
      </c>
      <c r="D22" s="16">
        <v>0.41528233888242938</v>
      </c>
      <c r="E22" s="16"/>
      <c r="F22" s="16">
        <v>0.7975473431975888</v>
      </c>
      <c r="G22" s="16">
        <v>0.79925255415109775</v>
      </c>
      <c r="H22" s="16">
        <v>0.79095604894855465</v>
      </c>
      <c r="I22" s="16">
        <v>0.83619264522077508</v>
      </c>
    </row>
    <row r="23" spans="1:17" x14ac:dyDescent="0.25">
      <c r="B23" s="25"/>
      <c r="C23" s="30"/>
      <c r="D23" s="30"/>
      <c r="E23" s="30"/>
      <c r="F23" s="16"/>
      <c r="G23" s="16"/>
      <c r="H23" s="16"/>
      <c r="I23" s="16"/>
    </row>
    <row r="24" spans="1:17" x14ac:dyDescent="0.25">
      <c r="A24" s="15"/>
      <c r="B24" s="13"/>
      <c r="C24" s="16"/>
      <c r="D24" s="16"/>
      <c r="E24" s="16"/>
      <c r="F24" s="16"/>
      <c r="G24" s="16"/>
      <c r="H24" s="16"/>
      <c r="I24" s="16"/>
    </row>
    <row r="25" spans="1:17" x14ac:dyDescent="0.25">
      <c r="A25" s="28" t="s">
        <v>1106</v>
      </c>
      <c r="B25" s="12"/>
    </row>
    <row r="26" spans="1:17" x14ac:dyDescent="0.25">
      <c r="A26" s="29" t="s">
        <v>1107</v>
      </c>
    </row>
    <row r="28" spans="1:17" x14ac:dyDescent="0.25">
      <c r="A28" s="11"/>
      <c r="B28" s="12"/>
      <c r="C28" s="16"/>
      <c r="D28" s="16"/>
      <c r="F28" s="16"/>
      <c r="G28" s="16"/>
      <c r="H28" s="16"/>
    </row>
    <row r="29" spans="1:17" x14ac:dyDescent="0.25">
      <c r="A29" s="11"/>
      <c r="B29" s="12"/>
    </row>
    <row r="30" spans="1:17" x14ac:dyDescent="0.25">
      <c r="A30" s="11"/>
      <c r="B30" s="8"/>
      <c r="C30" s="16"/>
      <c r="D30" s="16"/>
      <c r="F30" s="16"/>
      <c r="G30" s="16"/>
      <c r="H30" s="16"/>
    </row>
    <row r="31" spans="1:17" x14ac:dyDescent="0.25">
      <c r="A31" s="11"/>
      <c r="B31" s="12"/>
      <c r="C31" s="16"/>
      <c r="D31" s="16"/>
      <c r="F31" s="16"/>
      <c r="G31" s="16"/>
      <c r="H31" s="16"/>
    </row>
    <row r="32" spans="1:17" ht="34.5" x14ac:dyDescent="0.25">
      <c r="A32" s="312"/>
    </row>
    <row r="34" spans="1:1" x14ac:dyDescent="0.25">
      <c r="A34" s="8"/>
    </row>
  </sheetData>
  <hyperlinks>
    <hyperlink ref="A5" location="Índice!A1" display="Índice/Contents" xr:uid="{485E763E-8141-4434-B77A-B04CAD27EC40}"/>
  </hyperlinks>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9C3F5-B9CF-435F-9BD8-6C536DDD226F}">
  <sheetPr codeName="Sheet5"/>
  <dimension ref="A5:K35"/>
  <sheetViews>
    <sheetView showGridLines="0" zoomScaleNormal="100" workbookViewId="0">
      <selection activeCell="C33" sqref="C33"/>
    </sheetView>
  </sheetViews>
  <sheetFormatPr defaultRowHeight="15" x14ac:dyDescent="0.25"/>
  <cols>
    <col min="1" max="1" width="61.140625" customWidth="1"/>
    <col min="2" max="2" width="59" customWidth="1"/>
    <col min="3" max="7" width="12" customWidth="1"/>
  </cols>
  <sheetData>
    <row r="5" spans="1:11" ht="36" customHeight="1" x14ac:dyDescent="0.25">
      <c r="A5" s="10" t="s">
        <v>3</v>
      </c>
    </row>
    <row r="6" spans="1:11" ht="18.75" x14ac:dyDescent="0.25">
      <c r="A6" s="6" t="s">
        <v>179</v>
      </c>
    </row>
    <row r="7" spans="1:11" x14ac:dyDescent="0.25">
      <c r="A7" s="78" t="s">
        <v>182</v>
      </c>
    </row>
    <row r="8" spans="1:11" ht="18.75" x14ac:dyDescent="0.25">
      <c r="A8" s="6"/>
    </row>
    <row r="9" spans="1:11" x14ac:dyDescent="0.25">
      <c r="A9" s="7"/>
    </row>
    <row r="10" spans="1:11" x14ac:dyDescent="0.25">
      <c r="A10" t="s">
        <v>1108</v>
      </c>
    </row>
    <row r="11" spans="1:11" x14ac:dyDescent="0.25">
      <c r="A11" s="8" t="s">
        <v>1109</v>
      </c>
    </row>
    <row r="13" spans="1:11" x14ac:dyDescent="0.25">
      <c r="A13" s="9" t="s">
        <v>2</v>
      </c>
      <c r="C13" s="17" t="s">
        <v>1096</v>
      </c>
      <c r="D13" s="17" t="s">
        <v>1096</v>
      </c>
      <c r="E13" s="17" t="s">
        <v>1096</v>
      </c>
      <c r="F13" s="17" t="s">
        <v>1096</v>
      </c>
      <c r="G13" s="17"/>
      <c r="H13" s="17"/>
      <c r="I13" s="17"/>
      <c r="J13" s="17"/>
      <c r="K13" s="17"/>
    </row>
    <row r="14" spans="1:11" ht="15" customHeight="1" x14ac:dyDescent="0.25">
      <c r="C14" s="249" t="s">
        <v>1097</v>
      </c>
      <c r="D14" s="249" t="s">
        <v>1097</v>
      </c>
      <c r="E14" s="249" t="s">
        <v>1097</v>
      </c>
      <c r="F14" s="249" t="s">
        <v>1097</v>
      </c>
      <c r="G14" s="31"/>
      <c r="H14" s="31"/>
      <c r="I14" s="31"/>
      <c r="J14" s="31"/>
      <c r="K14" s="31"/>
    </row>
    <row r="15" spans="1:11" ht="15" customHeight="1" x14ac:dyDescent="0.25">
      <c r="C15" s="31"/>
      <c r="D15" s="31"/>
      <c r="E15" s="31"/>
      <c r="F15" s="31"/>
      <c r="G15" s="31"/>
      <c r="H15" s="31"/>
      <c r="I15" s="31"/>
      <c r="J15" s="31"/>
      <c r="K15" s="31"/>
    </row>
    <row r="16" spans="1:11" ht="15" customHeight="1" x14ac:dyDescent="0.25">
      <c r="C16" s="308">
        <v>2023</v>
      </c>
      <c r="D16" s="308" t="s">
        <v>9</v>
      </c>
      <c r="E16" s="231" t="s">
        <v>10</v>
      </c>
      <c r="F16" s="43" t="s">
        <v>1051</v>
      </c>
      <c r="G16" s="18"/>
      <c r="H16" s="18"/>
      <c r="I16" s="18"/>
      <c r="J16" s="18"/>
      <c r="K16" s="18"/>
    </row>
    <row r="18" spans="1:11" x14ac:dyDescent="0.25">
      <c r="A18" s="309"/>
      <c r="B18" s="8"/>
      <c r="C18" s="16"/>
      <c r="D18" s="16"/>
      <c r="E18" s="16"/>
    </row>
    <row r="19" spans="1:11" x14ac:dyDescent="0.25">
      <c r="A19" s="309" t="s">
        <v>1110</v>
      </c>
      <c r="B19" s="20" t="s">
        <v>1111</v>
      </c>
      <c r="C19" s="16">
        <v>6.8090785828830462</v>
      </c>
      <c r="D19" s="16">
        <v>4.8407190623932763</v>
      </c>
      <c r="E19" s="16">
        <v>4.1960294080366225</v>
      </c>
      <c r="F19" s="16">
        <v>3.8345095640928122</v>
      </c>
      <c r="G19" s="16"/>
      <c r="H19" s="16"/>
      <c r="I19" s="16"/>
      <c r="J19" s="16"/>
      <c r="K19" s="16"/>
    </row>
    <row r="20" spans="1:11" x14ac:dyDescent="0.25">
      <c r="A20" s="310" t="s">
        <v>1112</v>
      </c>
      <c r="B20" s="311" t="s">
        <v>1113</v>
      </c>
      <c r="C20" s="16">
        <v>1.6617568271836518</v>
      </c>
      <c r="D20" s="16">
        <v>1.9717614815966158</v>
      </c>
      <c r="E20" s="16">
        <v>1.9311053483213669</v>
      </c>
      <c r="F20" s="16">
        <v>1.8154846584822479</v>
      </c>
    </row>
    <row r="21" spans="1:11" x14ac:dyDescent="0.25">
      <c r="A21" s="310" t="s">
        <v>1114</v>
      </c>
      <c r="B21" s="311" t="s">
        <v>1115</v>
      </c>
      <c r="C21" s="16">
        <v>5.0631839507253318</v>
      </c>
      <c r="D21" s="16">
        <v>2.8134824181834404</v>
      </c>
      <c r="E21" s="16">
        <v>2.2220146166133503</v>
      </c>
      <c r="F21" s="16">
        <v>1.9830234196526675</v>
      </c>
    </row>
    <row r="22" spans="1:11" x14ac:dyDescent="0.25">
      <c r="A22" s="310"/>
      <c r="B22" s="311"/>
      <c r="C22" s="16"/>
      <c r="D22" s="16"/>
      <c r="E22" s="16"/>
      <c r="F22" s="16"/>
    </row>
    <row r="23" spans="1:11" x14ac:dyDescent="0.25">
      <c r="B23" s="313"/>
      <c r="C23" s="30"/>
      <c r="D23" s="16"/>
      <c r="E23" s="16"/>
      <c r="F23" s="16"/>
    </row>
    <row r="24" spans="1:11" x14ac:dyDescent="0.25">
      <c r="A24" s="15" t="s">
        <v>1116</v>
      </c>
      <c r="B24" s="13" t="s">
        <v>1117</v>
      </c>
      <c r="C24" s="16">
        <v>6.778721486874856</v>
      </c>
      <c r="D24" s="16">
        <v>6.8715615734725901</v>
      </c>
      <c r="E24" s="16">
        <v>4.4755807363151039</v>
      </c>
      <c r="F24" s="16">
        <v>3.7971854812230634</v>
      </c>
    </row>
    <row r="25" spans="1:11" x14ac:dyDescent="0.25">
      <c r="A25" s="310" t="s">
        <v>1118</v>
      </c>
      <c r="B25" s="311" t="s">
        <v>1119</v>
      </c>
      <c r="C25" s="16">
        <v>7.2992446801712418</v>
      </c>
      <c r="D25" s="16">
        <v>4.8457655556370787</v>
      </c>
      <c r="E25" s="16">
        <v>3.2026147940269691</v>
      </c>
      <c r="F25" s="16">
        <v>3.1449428069221614</v>
      </c>
    </row>
    <row r="26" spans="1:11" x14ac:dyDescent="0.25">
      <c r="A26" s="310" t="s">
        <v>1120</v>
      </c>
      <c r="B26" s="311" t="s">
        <v>1121</v>
      </c>
      <c r="C26" s="16">
        <v>1.4778003934301833</v>
      </c>
      <c r="D26" s="16">
        <v>2.4164907642566531</v>
      </c>
      <c r="E26" s="16">
        <v>1.2827409840875135</v>
      </c>
      <c r="F26" s="16">
        <v>0.96175666270824112</v>
      </c>
    </row>
    <row r="27" spans="1:11" x14ac:dyDescent="0.25">
      <c r="A27" s="310" t="s">
        <v>1122</v>
      </c>
      <c r="B27" s="311" t="s">
        <v>1123</v>
      </c>
      <c r="C27" s="16">
        <v>-1.0114927021376967</v>
      </c>
      <c r="D27" s="16">
        <v>-8.1449999141052998E-2</v>
      </c>
      <c r="E27" s="16">
        <v>-0.39470354971600691</v>
      </c>
      <c r="F27" s="16">
        <v>-0.52377138406684232</v>
      </c>
    </row>
    <row r="28" spans="1:11" x14ac:dyDescent="0.25">
      <c r="A28" s="310" t="s">
        <v>1124</v>
      </c>
      <c r="B28" s="311" t="s">
        <v>1125</v>
      </c>
      <c r="C28" s="16">
        <v>-0.98683088458887247</v>
      </c>
      <c r="D28" s="16">
        <v>-0.30924474728008866</v>
      </c>
      <c r="E28" s="16">
        <v>0.38492850791662819</v>
      </c>
      <c r="F28" s="16">
        <v>0.21425739565950319</v>
      </c>
    </row>
    <row r="29" spans="1:11" x14ac:dyDescent="0.25">
      <c r="A29" s="11" t="s">
        <v>1126</v>
      </c>
      <c r="B29" s="12" t="s">
        <v>1127</v>
      </c>
      <c r="C29" s="16">
        <v>1.6328626942755671</v>
      </c>
      <c r="D29" s="16">
        <v>3.9470301558149137</v>
      </c>
      <c r="E29" s="16">
        <v>2.2045800292175852</v>
      </c>
      <c r="F29" s="16">
        <v>1.7788863290562043</v>
      </c>
    </row>
    <row r="30" spans="1:11" x14ac:dyDescent="0.25">
      <c r="A30" s="11"/>
      <c r="B30" s="8"/>
      <c r="C30" s="16"/>
      <c r="D30" s="16"/>
    </row>
    <row r="31" spans="1:11" x14ac:dyDescent="0.25">
      <c r="A31" s="11"/>
      <c r="B31" s="12"/>
      <c r="C31" s="16"/>
      <c r="D31" s="16"/>
      <c r="E31" s="16"/>
      <c r="F31" s="16"/>
    </row>
    <row r="32" spans="1:11" ht="34.5" x14ac:dyDescent="0.25">
      <c r="A32" s="312"/>
    </row>
    <row r="34" spans="1:1" x14ac:dyDescent="0.25">
      <c r="A34" s="28" t="s">
        <v>1128</v>
      </c>
    </row>
    <row r="35" spans="1:1" x14ac:dyDescent="0.25">
      <c r="A35" s="29" t="s">
        <v>1129</v>
      </c>
    </row>
  </sheetData>
  <hyperlinks>
    <hyperlink ref="A5" location="Índice!A1" display="Índice/Contents" xr:uid="{A4F82FE9-D88A-4952-8FF9-8035FF22FD8C}"/>
  </hyperlinks>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CF08-2770-4C23-93E8-9673FA103854}">
  <sheetPr codeName="Sheet6"/>
  <dimension ref="A5:K30"/>
  <sheetViews>
    <sheetView showGridLines="0" topLeftCell="A17" zoomScaleNormal="100" workbookViewId="0">
      <selection activeCell="C33" sqref="C33"/>
    </sheetView>
  </sheetViews>
  <sheetFormatPr defaultRowHeight="15" x14ac:dyDescent="0.25"/>
  <cols>
    <col min="1" max="1" width="61.140625" customWidth="1"/>
    <col min="2" max="2" width="59" customWidth="1"/>
    <col min="3" max="7" width="12" customWidth="1"/>
  </cols>
  <sheetData>
    <row r="5" spans="1:11" ht="36" customHeight="1" x14ac:dyDescent="0.25">
      <c r="A5" s="10" t="s">
        <v>3</v>
      </c>
    </row>
    <row r="6" spans="1:11" ht="18.75" x14ac:dyDescent="0.25">
      <c r="A6" s="6" t="s">
        <v>179</v>
      </c>
    </row>
    <row r="7" spans="1:11" x14ac:dyDescent="0.25">
      <c r="A7" s="78" t="s">
        <v>182</v>
      </c>
    </row>
    <row r="8" spans="1:11" ht="18.75" x14ac:dyDescent="0.25">
      <c r="A8" s="6"/>
    </row>
    <row r="9" spans="1:11" x14ac:dyDescent="0.25">
      <c r="A9" s="7"/>
    </row>
    <row r="10" spans="1:11" x14ac:dyDescent="0.25">
      <c r="A10" t="s">
        <v>1130</v>
      </c>
    </row>
    <row r="11" spans="1:11" x14ac:dyDescent="0.25">
      <c r="A11" s="8" t="s">
        <v>1131</v>
      </c>
    </row>
    <row r="13" spans="1:11" x14ac:dyDescent="0.25">
      <c r="A13" s="9" t="s">
        <v>2</v>
      </c>
      <c r="C13" s="17" t="s">
        <v>4</v>
      </c>
      <c r="D13" s="17" t="s">
        <v>4</v>
      </c>
      <c r="E13" s="17" t="s">
        <v>4</v>
      </c>
      <c r="F13" s="17" t="s">
        <v>4</v>
      </c>
      <c r="G13" s="17"/>
      <c r="H13" s="17"/>
      <c r="I13" s="17"/>
      <c r="J13" s="17"/>
      <c r="K13" s="17"/>
    </row>
    <row r="14" spans="1:11" ht="15" customHeight="1" x14ac:dyDescent="0.25">
      <c r="C14" s="249"/>
      <c r="D14" s="249"/>
      <c r="E14" s="249"/>
      <c r="F14" s="249"/>
      <c r="G14" s="31"/>
      <c r="H14" s="31"/>
      <c r="I14" s="31"/>
      <c r="J14" s="31"/>
      <c r="K14" s="31"/>
    </row>
    <row r="15" spans="1:11" ht="15" customHeight="1" x14ac:dyDescent="0.25">
      <c r="C15" s="31"/>
      <c r="D15" s="31"/>
      <c r="E15" s="31"/>
      <c r="F15" s="31"/>
      <c r="G15" s="31"/>
      <c r="H15" s="31"/>
      <c r="I15" s="31"/>
      <c r="J15" s="31"/>
      <c r="K15" s="31"/>
    </row>
    <row r="16" spans="1:11" ht="15" customHeight="1" x14ac:dyDescent="0.25">
      <c r="C16" s="308">
        <v>2023</v>
      </c>
      <c r="D16" s="308" t="s">
        <v>9</v>
      </c>
      <c r="E16" s="231" t="s">
        <v>10</v>
      </c>
      <c r="F16" s="43" t="s">
        <v>1051</v>
      </c>
      <c r="G16" s="18"/>
      <c r="H16" s="18"/>
      <c r="I16" s="18"/>
      <c r="J16" s="18"/>
      <c r="K16" s="18"/>
    </row>
    <row r="18" spans="1:11" x14ac:dyDescent="0.25">
      <c r="A18" s="309"/>
      <c r="B18" s="8"/>
      <c r="C18" s="16"/>
      <c r="D18" s="16"/>
      <c r="E18" s="16"/>
    </row>
    <row r="19" spans="1:11" x14ac:dyDescent="0.25">
      <c r="A19" t="s">
        <v>1132</v>
      </c>
      <c r="B19" s="20" t="s">
        <v>1133</v>
      </c>
      <c r="C19" s="16">
        <v>2.5494350460621291</v>
      </c>
      <c r="D19" s="16">
        <v>3.2525603025143681</v>
      </c>
      <c r="E19" s="16">
        <v>6.0710454019166349</v>
      </c>
      <c r="F19" s="16">
        <v>4.9521543092223084</v>
      </c>
      <c r="G19" s="16"/>
      <c r="H19" s="16"/>
      <c r="I19" s="16"/>
      <c r="J19" s="16"/>
      <c r="K19" s="16"/>
    </row>
    <row r="20" spans="1:11" x14ac:dyDescent="0.25">
      <c r="A20" t="s">
        <v>1134</v>
      </c>
      <c r="B20" s="311" t="s">
        <v>1135</v>
      </c>
      <c r="C20" s="16">
        <v>12.528329627505741</v>
      </c>
      <c r="D20" s="16">
        <v>20.346988927291235</v>
      </c>
      <c r="E20" s="16">
        <v>13.262595439346711</v>
      </c>
      <c r="F20" s="16">
        <v>8.0639918060681168</v>
      </c>
    </row>
    <row r="21" spans="1:11" x14ac:dyDescent="0.25">
      <c r="A21" t="s">
        <v>1136</v>
      </c>
      <c r="B21" s="311" t="s">
        <v>1137</v>
      </c>
      <c r="C21" s="16">
        <v>-1.0551081275139325</v>
      </c>
      <c r="D21" s="16">
        <v>-0.81162725386593593</v>
      </c>
      <c r="E21" s="16">
        <v>1.7854008244275121</v>
      </c>
      <c r="F21" s="16">
        <v>2.3257094105754561</v>
      </c>
    </row>
    <row r="22" spans="1:11" x14ac:dyDescent="0.25">
      <c r="A22" t="s">
        <v>1138</v>
      </c>
      <c r="B22" s="311" t="s">
        <v>1139</v>
      </c>
      <c r="C22" s="16">
        <v>1.7283411250908358</v>
      </c>
      <c r="D22" s="16">
        <v>1.0606807479027367</v>
      </c>
      <c r="E22" s="16">
        <v>5.439493621011394</v>
      </c>
      <c r="F22" s="16">
        <v>4.773256515377966</v>
      </c>
    </row>
    <row r="23" spans="1:11" x14ac:dyDescent="0.25">
      <c r="B23" s="313"/>
      <c r="C23" s="30"/>
      <c r="D23" s="16"/>
      <c r="E23" s="16"/>
      <c r="F23" s="16"/>
    </row>
    <row r="24" spans="1:11" x14ac:dyDescent="0.25">
      <c r="A24" s="15"/>
      <c r="B24" s="13"/>
      <c r="C24" s="16"/>
      <c r="D24" s="16"/>
      <c r="E24" s="16"/>
      <c r="F24" s="16"/>
    </row>
    <row r="25" spans="1:11" x14ac:dyDescent="0.25">
      <c r="A25" s="310"/>
      <c r="B25" s="311"/>
      <c r="C25" s="16"/>
      <c r="D25" s="16"/>
      <c r="E25" s="16"/>
      <c r="F25" s="16"/>
    </row>
    <row r="26" spans="1:11" x14ac:dyDescent="0.25">
      <c r="A26" s="310"/>
      <c r="B26" s="311"/>
      <c r="C26" s="16"/>
      <c r="D26" s="16"/>
      <c r="E26" s="16"/>
      <c r="F26" s="16"/>
    </row>
    <row r="27" spans="1:11" ht="34.5" x14ac:dyDescent="0.25">
      <c r="A27" s="312"/>
    </row>
    <row r="29" spans="1:11" x14ac:dyDescent="0.25">
      <c r="A29" s="28" t="s">
        <v>1128</v>
      </c>
    </row>
    <row r="30" spans="1:11" x14ac:dyDescent="0.25">
      <c r="A30" s="29" t="s">
        <v>1129</v>
      </c>
    </row>
  </sheetData>
  <hyperlinks>
    <hyperlink ref="A5" location="Índice!A1" display="Índice/Contents" xr:uid="{52697FFF-56C9-4D13-89FF-7C8C040A3742}"/>
  </hyperlinks>
  <pageMargins left="0.7" right="0.7" top="0.75" bottom="0.75"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6727-7BA7-47D1-AAB2-8C4056E73CAA}">
  <sheetPr codeName="Sheet7"/>
  <dimension ref="A5:K35"/>
  <sheetViews>
    <sheetView showGridLines="0" topLeftCell="A14" zoomScaleNormal="100" workbookViewId="0">
      <selection activeCell="B45" sqref="B45"/>
    </sheetView>
  </sheetViews>
  <sheetFormatPr defaultRowHeight="15" x14ac:dyDescent="0.25"/>
  <cols>
    <col min="1" max="1" width="61.140625" customWidth="1"/>
    <col min="2" max="2" width="59" customWidth="1"/>
    <col min="3" max="7" width="12" customWidth="1"/>
  </cols>
  <sheetData>
    <row r="5" spans="1:11" ht="36" customHeight="1" x14ac:dyDescent="0.25">
      <c r="A5" s="10" t="s">
        <v>3</v>
      </c>
    </row>
    <row r="6" spans="1:11" ht="18.75" x14ac:dyDescent="0.25">
      <c r="A6" s="6" t="s">
        <v>179</v>
      </c>
    </row>
    <row r="7" spans="1:11" x14ac:dyDescent="0.25">
      <c r="A7" s="78" t="s">
        <v>182</v>
      </c>
    </row>
    <row r="8" spans="1:11" ht="18.75" x14ac:dyDescent="0.25">
      <c r="A8" s="6"/>
    </row>
    <row r="9" spans="1:11" x14ac:dyDescent="0.25">
      <c r="A9" s="7"/>
    </row>
    <row r="10" spans="1:11" x14ac:dyDescent="0.25">
      <c r="A10" t="s">
        <v>1140</v>
      </c>
    </row>
    <row r="11" spans="1:11" x14ac:dyDescent="0.25">
      <c r="A11" s="8" t="s">
        <v>1141</v>
      </c>
    </row>
    <row r="13" spans="1:11" x14ac:dyDescent="0.25">
      <c r="A13" s="9" t="s">
        <v>2</v>
      </c>
      <c r="C13" s="17" t="s">
        <v>1096</v>
      </c>
      <c r="D13" s="17" t="s">
        <v>1096</v>
      </c>
      <c r="E13" s="17" t="s">
        <v>1096</v>
      </c>
      <c r="F13" s="17" t="s">
        <v>1096</v>
      </c>
      <c r="G13" s="17"/>
      <c r="H13" s="17"/>
      <c r="I13" s="17"/>
      <c r="J13" s="17"/>
      <c r="K13" s="17"/>
    </row>
    <row r="14" spans="1:11" ht="15" customHeight="1" x14ac:dyDescent="0.25">
      <c r="C14" s="249" t="s">
        <v>1097</v>
      </c>
      <c r="D14" s="249" t="s">
        <v>1097</v>
      </c>
      <c r="E14" s="249" t="s">
        <v>1097</v>
      </c>
      <c r="F14" s="249" t="s">
        <v>1097</v>
      </c>
      <c r="G14" s="31"/>
      <c r="H14" s="31"/>
      <c r="I14" s="31"/>
      <c r="J14" s="31"/>
      <c r="K14" s="31"/>
    </row>
    <row r="15" spans="1:11" ht="15" customHeight="1" x14ac:dyDescent="0.25">
      <c r="C15" s="31"/>
      <c r="D15" s="31"/>
      <c r="E15" s="31"/>
      <c r="F15" s="31"/>
      <c r="G15" s="31"/>
      <c r="H15" s="31"/>
      <c r="I15" s="31"/>
      <c r="J15" s="31"/>
      <c r="K15" s="31"/>
    </row>
    <row r="16" spans="1:11" ht="15" customHeight="1" x14ac:dyDescent="0.25">
      <c r="C16" s="308">
        <v>2023</v>
      </c>
      <c r="D16" s="308" t="s">
        <v>9</v>
      </c>
      <c r="E16" s="231" t="s">
        <v>10</v>
      </c>
      <c r="F16" s="43" t="s">
        <v>1051</v>
      </c>
      <c r="G16" s="18"/>
      <c r="H16" s="18"/>
      <c r="I16" s="18"/>
      <c r="J16" s="18"/>
      <c r="K16" s="18"/>
    </row>
    <row r="17" spans="1:11" x14ac:dyDescent="0.25">
      <c r="A17" t="s">
        <v>1142</v>
      </c>
      <c r="B17" s="8" t="s">
        <v>1143</v>
      </c>
    </row>
    <row r="18" spans="1:11" x14ac:dyDescent="0.25">
      <c r="A18" s="309"/>
      <c r="B18" s="8"/>
      <c r="C18" s="16"/>
      <c r="D18" s="16"/>
      <c r="E18" s="16"/>
    </row>
    <row r="19" spans="1:11" x14ac:dyDescent="0.25">
      <c r="A19" s="33" t="s">
        <v>1144</v>
      </c>
      <c r="B19" s="20" t="s">
        <v>1145</v>
      </c>
      <c r="C19" s="16">
        <v>4.1133954145429357</v>
      </c>
      <c r="D19" s="16">
        <v>4.1742382326999996</v>
      </c>
      <c r="E19" s="16">
        <v>3.7089044949000001</v>
      </c>
      <c r="F19" s="16">
        <v>3.4219610321</v>
      </c>
      <c r="G19" s="16"/>
      <c r="H19" s="16"/>
      <c r="I19" s="16"/>
      <c r="J19" s="16"/>
      <c r="K19" s="16"/>
    </row>
    <row r="20" spans="1:11" x14ac:dyDescent="0.25">
      <c r="A20" s="314" t="s">
        <v>1146</v>
      </c>
      <c r="B20" s="311" t="s">
        <v>1147</v>
      </c>
      <c r="C20" s="16">
        <v>-0.18948561243652862</v>
      </c>
      <c r="D20" s="16">
        <v>2.2743220251</v>
      </c>
      <c r="E20" s="16">
        <v>2.1394913969</v>
      </c>
      <c r="F20" s="16">
        <v>2.0219344571</v>
      </c>
    </row>
    <row r="21" spans="1:11" x14ac:dyDescent="0.25">
      <c r="A21" s="314" t="s">
        <v>92</v>
      </c>
      <c r="B21" s="311" t="s">
        <v>93</v>
      </c>
      <c r="C21" s="16">
        <v>4.3028810269794793</v>
      </c>
      <c r="D21" s="16">
        <v>1.8999162076</v>
      </c>
      <c r="E21" s="16">
        <v>1.5694130980000001</v>
      </c>
      <c r="F21" s="16">
        <v>1.4000265750000001</v>
      </c>
    </row>
    <row r="22" spans="1:11" x14ac:dyDescent="0.25">
      <c r="B22" s="311"/>
      <c r="C22" s="16"/>
      <c r="D22" s="16"/>
      <c r="E22" s="16"/>
      <c r="F22" s="16"/>
    </row>
    <row r="23" spans="1:11" x14ac:dyDescent="0.25">
      <c r="A23" t="s">
        <v>1148</v>
      </c>
      <c r="B23" s="8" t="s">
        <v>1149</v>
      </c>
      <c r="C23" s="30">
        <v>-0.50294916849681215</v>
      </c>
      <c r="D23" s="30">
        <v>1.1456916672999999</v>
      </c>
      <c r="E23" s="30">
        <v>3.1877117096999998</v>
      </c>
      <c r="F23" s="30">
        <v>3.24200584</v>
      </c>
    </row>
    <row r="24" spans="1:11" x14ac:dyDescent="0.25">
      <c r="A24" s="15"/>
      <c r="B24" s="13"/>
      <c r="C24" s="16"/>
      <c r="D24" s="16"/>
      <c r="E24" s="16"/>
      <c r="F24" s="16"/>
      <c r="G24" s="16"/>
    </row>
    <row r="25" spans="1:11" x14ac:dyDescent="0.25">
      <c r="A25" s="310"/>
      <c r="B25" s="311"/>
      <c r="C25" s="16"/>
      <c r="D25" s="16"/>
      <c r="E25" s="16"/>
      <c r="F25" s="16"/>
    </row>
    <row r="26" spans="1:11" x14ac:dyDescent="0.25">
      <c r="A26" t="s">
        <v>1150</v>
      </c>
      <c r="B26" s="8" t="s">
        <v>1151</v>
      </c>
      <c r="C26" s="16"/>
      <c r="D26" s="16"/>
      <c r="E26" s="16"/>
      <c r="F26" s="16"/>
    </row>
    <row r="27" spans="1:11" x14ac:dyDescent="0.25">
      <c r="A27" s="310"/>
      <c r="B27" s="311"/>
      <c r="C27" s="16"/>
      <c r="D27" s="16"/>
      <c r="E27" s="16"/>
      <c r="F27" s="16"/>
    </row>
    <row r="28" spans="1:11" x14ac:dyDescent="0.25">
      <c r="A28" s="33" t="s">
        <v>1152</v>
      </c>
      <c r="B28" s="20" t="s">
        <v>1153</v>
      </c>
      <c r="C28" s="16">
        <v>2.2310907392310924</v>
      </c>
      <c r="D28" s="16">
        <v>4.3102588595000002</v>
      </c>
      <c r="E28" s="16">
        <v>4.2879151166999998</v>
      </c>
      <c r="F28" s="16">
        <v>3.4617253554</v>
      </c>
    </row>
    <row r="29" spans="1:11" x14ac:dyDescent="0.25">
      <c r="A29" s="314" t="s">
        <v>1146</v>
      </c>
      <c r="B29" s="311" t="s">
        <v>1147</v>
      </c>
      <c r="C29" s="16">
        <v>1.2143784858876083</v>
      </c>
      <c r="D29" s="16">
        <v>3.8978697059999998</v>
      </c>
      <c r="E29" s="16">
        <v>3.4036396207999999</v>
      </c>
      <c r="F29" s="16">
        <v>2.8066901315999999</v>
      </c>
    </row>
    <row r="30" spans="1:11" x14ac:dyDescent="0.25">
      <c r="A30" s="314" t="s">
        <v>92</v>
      </c>
      <c r="B30" s="311" t="s">
        <v>93</v>
      </c>
      <c r="C30" s="16">
        <v>1.0167122533434632</v>
      </c>
      <c r="D30" s="16">
        <v>0.41238915349999999</v>
      </c>
      <c r="E30" s="16">
        <v>0.88427549589999999</v>
      </c>
      <c r="F30" s="16">
        <v>0.65503522380000001</v>
      </c>
    </row>
    <row r="31" spans="1:11" x14ac:dyDescent="0.25">
      <c r="A31" s="11"/>
      <c r="B31" s="12"/>
      <c r="C31" s="16"/>
      <c r="D31" s="16"/>
      <c r="E31" s="16"/>
      <c r="F31" s="16"/>
    </row>
    <row r="32" spans="1:11" ht="34.5" x14ac:dyDescent="0.25">
      <c r="A32" s="312"/>
      <c r="C32" s="16"/>
      <c r="D32" s="16"/>
      <c r="E32" s="16"/>
      <c r="F32" s="16"/>
    </row>
    <row r="34" spans="1:1" x14ac:dyDescent="0.25">
      <c r="A34" s="28" t="s">
        <v>1154</v>
      </c>
    </row>
    <row r="35" spans="1:1" x14ac:dyDescent="0.25">
      <c r="A35" s="29" t="s">
        <v>1155</v>
      </c>
    </row>
  </sheetData>
  <hyperlinks>
    <hyperlink ref="A5" location="Índice!A1" display="Índice/Contents" xr:uid="{3FC3C83D-332C-4630-AD23-40A11F86C93C}"/>
  </hyperlinks>
  <pageMargins left="0.7" right="0.7" top="0.75" bottom="0.75" header="0.3" footer="0.3"/>
  <pageSetup paperSize="9"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E294-9CDD-4295-911F-2FED4E528990}">
  <sheetPr codeName="Sheet17"/>
  <dimension ref="A5:K36"/>
  <sheetViews>
    <sheetView topLeftCell="A5" zoomScaleNormal="100" workbookViewId="0">
      <selection activeCell="C33" sqref="C33"/>
    </sheetView>
  </sheetViews>
  <sheetFormatPr defaultRowHeight="15" x14ac:dyDescent="0.25"/>
  <cols>
    <col min="1" max="1" width="61.140625" customWidth="1"/>
    <col min="2" max="2" width="59" customWidth="1"/>
    <col min="3" max="3" width="12" customWidth="1"/>
    <col min="4" max="4" width="13" customWidth="1"/>
    <col min="5" max="8" width="15.5703125" customWidth="1"/>
  </cols>
  <sheetData>
    <row r="5" spans="1:11" ht="36" customHeight="1" x14ac:dyDescent="0.25">
      <c r="A5" s="10" t="s">
        <v>3</v>
      </c>
    </row>
    <row r="6" spans="1:11" ht="18.75" x14ac:dyDescent="0.25">
      <c r="A6" s="6" t="s">
        <v>179</v>
      </c>
    </row>
    <row r="7" spans="1:11" x14ac:dyDescent="0.25">
      <c r="A7" s="78" t="s">
        <v>182</v>
      </c>
    </row>
    <row r="8" spans="1:11" ht="18.75" x14ac:dyDescent="0.25">
      <c r="A8" s="6"/>
    </row>
    <row r="9" spans="1:11" x14ac:dyDescent="0.25">
      <c r="A9" s="7"/>
    </row>
    <row r="10" spans="1:11" x14ac:dyDescent="0.25">
      <c r="A10" t="s">
        <v>1554</v>
      </c>
    </row>
    <row r="11" spans="1:11" x14ac:dyDescent="0.25">
      <c r="A11" s="8" t="s">
        <v>1555</v>
      </c>
    </row>
    <row r="13" spans="1:11" x14ac:dyDescent="0.25">
      <c r="A13" s="9" t="s">
        <v>2</v>
      </c>
      <c r="C13" s="17"/>
      <c r="D13" s="17" t="s">
        <v>730</v>
      </c>
      <c r="E13" s="17" t="s">
        <v>730</v>
      </c>
      <c r="F13" s="17" t="s">
        <v>730</v>
      </c>
      <c r="G13" s="17" t="s">
        <v>730</v>
      </c>
      <c r="H13" s="17" t="s">
        <v>4</v>
      </c>
      <c r="I13" s="17"/>
      <c r="J13" s="17"/>
      <c r="K13" s="17"/>
    </row>
    <row r="14" spans="1:11" s="34" customFormat="1" ht="56.25" customHeight="1" x14ac:dyDescent="0.25">
      <c r="D14" s="404" t="s">
        <v>682</v>
      </c>
      <c r="E14" s="404" t="s">
        <v>1548</v>
      </c>
      <c r="F14" s="404" t="s">
        <v>1549</v>
      </c>
      <c r="G14" s="404" t="s">
        <v>1550</v>
      </c>
      <c r="H14" s="404" t="s">
        <v>66</v>
      </c>
      <c r="I14" s="405"/>
      <c r="J14" s="405"/>
      <c r="K14" s="405"/>
    </row>
    <row r="15" spans="1:11" ht="15" customHeight="1" x14ac:dyDescent="0.25">
      <c r="D15" s="403" t="s">
        <v>703</v>
      </c>
      <c r="E15" s="402" t="s">
        <v>1551</v>
      </c>
      <c r="F15" s="402" t="s">
        <v>1552</v>
      </c>
      <c r="G15" s="402" t="s">
        <v>1553</v>
      </c>
      <c r="H15" s="402" t="s">
        <v>66</v>
      </c>
      <c r="I15" s="31"/>
      <c r="J15" s="31"/>
      <c r="K15" s="31"/>
    </row>
    <row r="16" spans="1:11" ht="15" customHeight="1" x14ac:dyDescent="0.25">
      <c r="C16" s="31"/>
      <c r="D16" s="31"/>
      <c r="E16" s="31"/>
      <c r="F16" s="31"/>
      <c r="G16" s="31"/>
      <c r="H16" s="31"/>
      <c r="I16" s="31"/>
      <c r="J16" s="31"/>
      <c r="K16" s="31"/>
    </row>
    <row r="17" spans="1:11" ht="15" customHeight="1" x14ac:dyDescent="0.25">
      <c r="C17" s="16" t="s">
        <v>1536</v>
      </c>
      <c r="D17" s="400">
        <v>-0.11209262402305946</v>
      </c>
      <c r="E17" s="231">
        <v>-0.37285266568588227</v>
      </c>
      <c r="F17" s="231">
        <v>0.29833101893060399</v>
      </c>
      <c r="G17" s="401">
        <v>0.38213256961184416</v>
      </c>
      <c r="H17" s="401">
        <v>0.19551829883350622</v>
      </c>
      <c r="I17" s="18"/>
      <c r="J17" s="401"/>
      <c r="K17" s="18"/>
    </row>
    <row r="18" spans="1:11" x14ac:dyDescent="0.25">
      <c r="B18" s="8"/>
      <c r="C18" t="s">
        <v>1537</v>
      </c>
      <c r="D18" s="16">
        <v>0.67544827271748908</v>
      </c>
      <c r="E18" s="16">
        <v>-1.6641169250018708</v>
      </c>
      <c r="F18" s="16">
        <v>0.35712092482141039</v>
      </c>
      <c r="G18" s="16">
        <v>0.568661826027694</v>
      </c>
      <c r="H18" s="16">
        <v>-6.2885901435276226E-2</v>
      </c>
      <c r="J18" s="401"/>
    </row>
    <row r="19" spans="1:11" x14ac:dyDescent="0.25">
      <c r="A19" s="309"/>
      <c r="B19" s="8"/>
      <c r="C19" s="16" t="s">
        <v>1538</v>
      </c>
      <c r="D19" s="16">
        <v>0.757813264538998</v>
      </c>
      <c r="E19" s="16">
        <v>-0.45927319634095859</v>
      </c>
      <c r="F19" s="16">
        <v>0.38565949928489524</v>
      </c>
      <c r="G19" s="16">
        <v>0.54777733877499346</v>
      </c>
      <c r="H19" s="16">
        <v>1.2319769062579278</v>
      </c>
      <c r="J19" s="401"/>
    </row>
    <row r="20" spans="1:11" x14ac:dyDescent="0.25">
      <c r="A20" s="33"/>
      <c r="B20" s="20"/>
      <c r="C20" s="16" t="s">
        <v>1539</v>
      </c>
      <c r="D20" s="16">
        <v>1.0244033623068449</v>
      </c>
      <c r="E20" s="16">
        <v>0.19071791302070962</v>
      </c>
      <c r="F20" s="16">
        <v>0.6195086805956912</v>
      </c>
      <c r="G20" s="16">
        <v>0.58221659110897284</v>
      </c>
      <c r="H20" s="16">
        <v>2.4168465470322182</v>
      </c>
      <c r="I20" s="16"/>
      <c r="J20" s="401"/>
      <c r="K20" s="16"/>
    </row>
    <row r="21" spans="1:11" x14ac:dyDescent="0.25">
      <c r="A21" s="314"/>
      <c r="B21" s="311"/>
      <c r="C21" s="16" t="s">
        <v>1540</v>
      </c>
      <c r="D21" s="16">
        <v>1.2576847939930795</v>
      </c>
      <c r="E21" s="16">
        <v>0.21202918785064973</v>
      </c>
      <c r="F21" s="16">
        <v>1.985414701649616</v>
      </c>
      <c r="G21" s="16">
        <v>0.9637824403362395</v>
      </c>
      <c r="H21" s="16">
        <v>4.4189111238295862</v>
      </c>
      <c r="J21" s="401"/>
    </row>
    <row r="22" spans="1:11" x14ac:dyDescent="0.25">
      <c r="A22" s="314"/>
      <c r="B22" s="311"/>
      <c r="C22" s="16" t="s">
        <v>1541</v>
      </c>
      <c r="D22" s="16">
        <v>2.2509772165732693</v>
      </c>
      <c r="E22" s="16">
        <v>1.0593611674982062</v>
      </c>
      <c r="F22" s="16">
        <v>3.7851245283081107</v>
      </c>
      <c r="G22" s="16">
        <v>1.0740175961317486</v>
      </c>
      <c r="H22" s="16">
        <v>8.1694805085113398</v>
      </c>
      <c r="J22" s="401"/>
    </row>
    <row r="23" spans="1:11" x14ac:dyDescent="0.25">
      <c r="B23" s="311"/>
      <c r="C23" s="16" t="s">
        <v>1542</v>
      </c>
      <c r="D23" s="16">
        <v>2.0653286143501934</v>
      </c>
      <c r="E23" s="16">
        <v>1.4654283675928326</v>
      </c>
      <c r="F23" s="16">
        <v>4.8478053727090602</v>
      </c>
      <c r="G23" s="16">
        <v>1.1495937274100851</v>
      </c>
      <c r="H23" s="16">
        <v>9.5281560820621767</v>
      </c>
      <c r="J23" s="401"/>
    </row>
    <row r="24" spans="1:11" x14ac:dyDescent="0.25">
      <c r="B24" s="8"/>
      <c r="C24" s="30" t="s">
        <v>1543</v>
      </c>
      <c r="D24" s="30">
        <v>1.9624681941959503</v>
      </c>
      <c r="E24" s="30">
        <v>0.86203400135238328</v>
      </c>
      <c r="F24" s="30">
        <v>6.0300666475907887</v>
      </c>
      <c r="G24" s="16">
        <v>1.3502584000719695</v>
      </c>
      <c r="H24" s="16">
        <v>10.204827243211094</v>
      </c>
      <c r="J24" s="401"/>
    </row>
    <row r="25" spans="1:11" x14ac:dyDescent="0.25">
      <c r="A25" s="15"/>
      <c r="B25" s="13"/>
      <c r="C25" s="16" t="s">
        <v>1544</v>
      </c>
      <c r="D25" s="16">
        <v>0.20219231201755195</v>
      </c>
      <c r="E25" s="16">
        <v>0.55039527427240498</v>
      </c>
      <c r="F25" s="16">
        <v>5.9782066538509797</v>
      </c>
      <c r="G25" s="16">
        <v>1.6685282514826716</v>
      </c>
      <c r="H25" s="16">
        <v>8.3993224916236056</v>
      </c>
      <c r="J25" s="401"/>
    </row>
    <row r="26" spans="1:11" x14ac:dyDescent="0.25">
      <c r="A26" s="310"/>
      <c r="B26" s="311"/>
      <c r="C26" s="16" t="s">
        <v>1545</v>
      </c>
      <c r="D26" s="16">
        <v>-1.3296387770760769</v>
      </c>
      <c r="E26" s="16">
        <v>1.5941981629830821</v>
      </c>
      <c r="F26" s="16">
        <v>3.6877742710861843</v>
      </c>
      <c r="G26" s="16">
        <v>1.6992298811798459</v>
      </c>
      <c r="H26" s="16">
        <v>5.6515635381730336</v>
      </c>
      <c r="J26" s="401"/>
    </row>
    <row r="27" spans="1:11" x14ac:dyDescent="0.25">
      <c r="B27" s="8"/>
      <c r="C27" s="16" t="s">
        <v>1546</v>
      </c>
      <c r="D27" s="16">
        <v>-0.72155623043458761</v>
      </c>
      <c r="E27" s="16">
        <v>1.4872749983188154</v>
      </c>
      <c r="F27" s="16">
        <v>2.2554360856727751</v>
      </c>
      <c r="G27" s="16">
        <v>1.7926279944402987</v>
      </c>
      <c r="H27" s="16">
        <v>4.8137828479973024</v>
      </c>
      <c r="J27" s="401"/>
    </row>
    <row r="28" spans="1:11" x14ac:dyDescent="0.25">
      <c r="A28" s="310"/>
      <c r="B28" s="311"/>
      <c r="C28" s="16" t="s">
        <v>1547</v>
      </c>
      <c r="D28" s="16">
        <v>-0.9790287066912372</v>
      </c>
      <c r="E28" s="16">
        <v>0.6933892892714012</v>
      </c>
      <c r="F28" s="16">
        <v>1.1005282038666575</v>
      </c>
      <c r="G28" s="16">
        <v>1.6330588628569696</v>
      </c>
      <c r="H28" s="16">
        <v>2.4479476493037899</v>
      </c>
      <c r="J28" s="401"/>
    </row>
    <row r="29" spans="1:11" x14ac:dyDescent="0.25">
      <c r="A29" s="33"/>
      <c r="B29" s="20"/>
      <c r="C29" s="16" t="s">
        <v>787</v>
      </c>
      <c r="D29" s="16">
        <v>0.17771254518328478</v>
      </c>
      <c r="E29" s="16">
        <v>0.4096443227429305</v>
      </c>
      <c r="F29" s="16">
        <v>0.10677144129877185</v>
      </c>
      <c r="G29" s="16">
        <v>1.7673255368541534</v>
      </c>
      <c r="H29" s="16">
        <v>2.4614538460791411</v>
      </c>
      <c r="J29" s="401"/>
    </row>
    <row r="30" spans="1:11" x14ac:dyDescent="0.25">
      <c r="A30" s="314"/>
      <c r="B30" s="311"/>
      <c r="C30" s="16"/>
      <c r="D30" s="16"/>
      <c r="E30" s="16"/>
      <c r="F30" s="16"/>
    </row>
    <row r="31" spans="1:11" x14ac:dyDescent="0.25">
      <c r="A31" s="314"/>
      <c r="B31" s="311"/>
      <c r="C31" s="16"/>
      <c r="D31" s="16"/>
      <c r="E31" s="16"/>
      <c r="F31" s="16"/>
    </row>
    <row r="32" spans="1:11" x14ac:dyDescent="0.25">
      <c r="A32" s="11"/>
      <c r="B32" s="12"/>
      <c r="C32" s="16"/>
      <c r="D32" s="16"/>
      <c r="E32" s="16"/>
      <c r="F32" s="16"/>
    </row>
    <row r="33" spans="1:6" ht="34.5" x14ac:dyDescent="0.25">
      <c r="A33" s="312"/>
      <c r="C33" s="16"/>
      <c r="D33" s="16"/>
      <c r="E33" s="16"/>
      <c r="F33" s="16"/>
    </row>
    <row r="35" spans="1:6" x14ac:dyDescent="0.25">
      <c r="A35" s="28" t="s">
        <v>1556</v>
      </c>
    </row>
    <row r="36" spans="1:6" x14ac:dyDescent="0.25">
      <c r="A36" s="29" t="s">
        <v>1557</v>
      </c>
    </row>
  </sheetData>
  <hyperlinks>
    <hyperlink ref="A5" location="Índice!A1" display="Índice/Contents" xr:uid="{1E32E539-6B6A-4AF1-8F48-05954360B669}"/>
  </hyperlinks>
  <pageMargins left="0.7" right="0.7" top="0.75" bottom="0.75"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903C-141C-4A62-889A-3D9DB6D001BD}">
  <sheetPr codeName="Sheet36"/>
  <dimension ref="A5:S84"/>
  <sheetViews>
    <sheetView showGridLines="0" zoomScale="98" zoomScaleNormal="98" workbookViewId="0">
      <selection activeCell="A12" sqref="A12"/>
    </sheetView>
  </sheetViews>
  <sheetFormatPr defaultColWidth="9.140625" defaultRowHeight="15" x14ac:dyDescent="0.25"/>
  <cols>
    <col min="1" max="1" width="31.5703125" style="329" customWidth="1"/>
    <col min="2" max="2" width="8.85546875" style="329" customWidth="1"/>
    <col min="3" max="8" width="22.5703125" style="330" customWidth="1"/>
    <col min="9" max="16384" width="9.140625" style="329"/>
  </cols>
  <sheetData>
    <row r="5" spans="1:19" ht="36" customHeight="1" x14ac:dyDescent="0.25">
      <c r="A5" s="328" t="s">
        <v>3</v>
      </c>
    </row>
    <row r="6" spans="1:19" ht="18.75" x14ac:dyDescent="0.25">
      <c r="A6" s="331" t="s">
        <v>179</v>
      </c>
    </row>
    <row r="7" spans="1:19" ht="18.75" x14ac:dyDescent="0.25">
      <c r="A7" s="331"/>
    </row>
    <row r="8" spans="1:19" ht="18.75" x14ac:dyDescent="0.25">
      <c r="A8" s="331"/>
    </row>
    <row r="9" spans="1:19" x14ac:dyDescent="0.25">
      <c r="A9" s="332"/>
    </row>
    <row r="10" spans="1:19" x14ac:dyDescent="0.25">
      <c r="A10" s="329" t="s">
        <v>1305</v>
      </c>
    </row>
    <row r="11" spans="1:19" x14ac:dyDescent="0.25">
      <c r="A11" s="333" t="s">
        <v>1582</v>
      </c>
    </row>
    <row r="12" spans="1:19" x14ac:dyDescent="0.25">
      <c r="A12" s="333"/>
    </row>
    <row r="13" spans="1:19" ht="38.25" customHeight="1" x14ac:dyDescent="0.25">
      <c r="A13" s="335" t="s">
        <v>2</v>
      </c>
      <c r="C13" s="424" t="s">
        <v>1239</v>
      </c>
      <c r="D13" s="424"/>
      <c r="E13" s="424"/>
      <c r="F13" s="424"/>
      <c r="G13" s="424"/>
      <c r="H13" s="424"/>
      <c r="I13" s="336"/>
      <c r="J13" s="336"/>
      <c r="K13" s="336"/>
      <c r="L13" s="336"/>
      <c r="M13" s="336"/>
      <c r="N13" s="336"/>
      <c r="O13" s="336"/>
      <c r="P13" s="336"/>
      <c r="Q13" s="336"/>
      <c r="R13" s="336"/>
      <c r="S13" s="336"/>
    </row>
    <row r="14" spans="1:19" x14ac:dyDescent="0.25">
      <c r="A14" s="333"/>
    </row>
    <row r="15" spans="1:19" x14ac:dyDescent="0.25">
      <c r="A15" s="333"/>
      <c r="C15" s="423" t="s">
        <v>1235</v>
      </c>
      <c r="D15" s="423"/>
      <c r="E15" s="423"/>
      <c r="F15" s="423" t="s">
        <v>1236</v>
      </c>
      <c r="G15" s="423"/>
      <c r="H15" s="423"/>
    </row>
    <row r="16" spans="1:19" x14ac:dyDescent="0.25">
      <c r="C16" s="423" t="s">
        <v>1237</v>
      </c>
      <c r="D16" s="423"/>
      <c r="E16" s="423"/>
      <c r="F16" s="423" t="s">
        <v>1238</v>
      </c>
      <c r="G16" s="423"/>
      <c r="H16" s="423"/>
      <c r="I16" s="334"/>
    </row>
    <row r="18" spans="1:19" s="330" customFormat="1" ht="30" x14ac:dyDescent="0.25">
      <c r="A18" s="335"/>
      <c r="C18" s="325" t="s">
        <v>1240</v>
      </c>
      <c r="D18" s="325" t="s">
        <v>1241</v>
      </c>
      <c r="E18" s="325" t="s">
        <v>1242</v>
      </c>
      <c r="F18" s="325" t="s">
        <v>1243</v>
      </c>
      <c r="G18" s="325" t="s">
        <v>1241</v>
      </c>
      <c r="H18" s="325" t="s">
        <v>1244</v>
      </c>
      <c r="I18" s="337"/>
      <c r="J18" s="337"/>
      <c r="K18" s="337"/>
      <c r="L18" s="337"/>
      <c r="M18" s="337"/>
      <c r="N18" s="337"/>
      <c r="O18" s="337"/>
      <c r="P18" s="337"/>
      <c r="Q18" s="337"/>
      <c r="R18" s="337"/>
      <c r="S18" s="337"/>
    </row>
    <row r="19" spans="1:19" ht="30" x14ac:dyDescent="0.25">
      <c r="C19" s="325" t="s">
        <v>1245</v>
      </c>
      <c r="D19" s="325" t="s">
        <v>1246</v>
      </c>
      <c r="E19" s="325" t="s">
        <v>1247</v>
      </c>
      <c r="F19" s="325" t="s">
        <v>1248</v>
      </c>
      <c r="G19" s="325" t="s">
        <v>1249</v>
      </c>
      <c r="H19" s="325" t="s">
        <v>1250</v>
      </c>
      <c r="I19" s="338"/>
      <c r="J19" s="338"/>
      <c r="K19" s="338"/>
      <c r="L19" s="338"/>
      <c r="M19" s="338"/>
      <c r="N19" s="338"/>
      <c r="O19" s="338"/>
      <c r="P19" s="338"/>
      <c r="Q19" s="338"/>
      <c r="R19" s="338"/>
      <c r="S19" s="338"/>
    </row>
    <row r="20" spans="1:19" x14ac:dyDescent="0.25">
      <c r="A20" s="339">
        <v>43831</v>
      </c>
      <c r="B20" s="340">
        <v>43831</v>
      </c>
      <c r="C20" s="341">
        <v>0.45658260772279391</v>
      </c>
      <c r="D20" s="341">
        <v>0.29589647908915118</v>
      </c>
      <c r="E20" s="341">
        <v>1.3233446658837613</v>
      </c>
      <c r="F20" s="341">
        <v>0.94476582275629539</v>
      </c>
      <c r="G20" s="341">
        <v>1.4117479586774881</v>
      </c>
      <c r="H20" s="341">
        <v>1.3654097738646342</v>
      </c>
      <c r="I20" s="338"/>
      <c r="J20" s="338"/>
      <c r="K20" s="338"/>
      <c r="L20" s="338"/>
      <c r="M20" s="338"/>
      <c r="N20" s="338"/>
      <c r="O20" s="338"/>
      <c r="P20" s="338"/>
      <c r="Q20" s="338"/>
      <c r="R20" s="338"/>
      <c r="S20" s="338"/>
    </row>
    <row r="21" spans="1:19" x14ac:dyDescent="0.25">
      <c r="A21" s="339">
        <v>43862</v>
      </c>
      <c r="B21" s="340">
        <v>43862</v>
      </c>
      <c r="C21" s="341">
        <v>3.40115310210507E-2</v>
      </c>
      <c r="D21" s="341">
        <v>0.29589647908915118</v>
      </c>
      <c r="E21" s="341">
        <v>1.3880214457028526</v>
      </c>
      <c r="F21" s="341">
        <v>0.80616159330064363</v>
      </c>
      <c r="G21" s="341">
        <v>1.4117479586774881</v>
      </c>
      <c r="H21" s="341">
        <v>1.3989188038854066</v>
      </c>
      <c r="I21" s="338"/>
      <c r="J21" s="338"/>
      <c r="K21" s="338"/>
      <c r="L21" s="338"/>
      <c r="M21" s="338"/>
      <c r="N21" s="338"/>
      <c r="O21" s="338"/>
      <c r="P21" s="338"/>
      <c r="Q21" s="338"/>
      <c r="R21" s="338"/>
      <c r="S21" s="338"/>
    </row>
    <row r="22" spans="1:19" x14ac:dyDescent="0.25">
      <c r="A22" s="339">
        <v>43891</v>
      </c>
      <c r="B22" s="340">
        <v>43891</v>
      </c>
      <c r="C22" s="341">
        <v>-0.15914057248225788</v>
      </c>
      <c r="D22" s="341">
        <v>0.29589647908915118</v>
      </c>
      <c r="E22" s="341">
        <v>1.1680563513256752</v>
      </c>
      <c r="F22" s="341">
        <v>0.3589039185340539</v>
      </c>
      <c r="G22" s="341">
        <v>1.4117479586774881</v>
      </c>
      <c r="H22" s="341">
        <v>1.1968411286112919</v>
      </c>
      <c r="I22" s="338"/>
      <c r="J22" s="338"/>
      <c r="K22" s="338"/>
      <c r="L22" s="338"/>
      <c r="M22" s="338"/>
      <c r="N22" s="338"/>
      <c r="O22" s="338"/>
      <c r="P22" s="338"/>
      <c r="Q22" s="338"/>
      <c r="R22" s="338"/>
      <c r="S22" s="338"/>
    </row>
    <row r="23" spans="1:19" x14ac:dyDescent="0.25">
      <c r="A23" s="339">
        <v>43922</v>
      </c>
      <c r="B23" s="340">
        <v>43922</v>
      </c>
      <c r="C23" s="341">
        <v>0.46843921404786215</v>
      </c>
      <c r="D23" s="341">
        <v>0.29589647908915118</v>
      </c>
      <c r="E23" s="341">
        <v>0.69689858273839933</v>
      </c>
      <c r="F23" s="341">
        <v>0.68855990779400145</v>
      </c>
      <c r="G23" s="341">
        <v>1.4117479586774881</v>
      </c>
      <c r="H23" s="341">
        <v>1.5055280660838266</v>
      </c>
      <c r="I23" s="338"/>
      <c r="J23" s="338"/>
      <c r="K23" s="338"/>
      <c r="L23" s="338"/>
      <c r="M23" s="338"/>
      <c r="N23" s="338"/>
      <c r="O23" s="338"/>
      <c r="P23" s="338"/>
      <c r="Q23" s="338"/>
      <c r="R23" s="338"/>
      <c r="S23" s="338"/>
    </row>
    <row r="24" spans="1:19" x14ac:dyDescent="0.25">
      <c r="A24" s="339">
        <v>43952</v>
      </c>
      <c r="B24" s="340">
        <v>43952</v>
      </c>
      <c r="C24" s="341">
        <v>0.75936614396083257</v>
      </c>
      <c r="D24" s="341">
        <v>0.29589647908915118</v>
      </c>
      <c r="E24" s="341">
        <v>0.44543534463866097</v>
      </c>
      <c r="F24" s="341">
        <v>0.58370302354084913</v>
      </c>
      <c r="G24" s="341">
        <v>1.4117479586774881</v>
      </c>
      <c r="H24" s="341">
        <v>1.3991710625961389</v>
      </c>
      <c r="I24" s="338"/>
      <c r="J24" s="338"/>
      <c r="K24" s="338"/>
      <c r="L24" s="338"/>
      <c r="M24" s="338"/>
      <c r="N24" s="338"/>
      <c r="O24" s="338"/>
      <c r="P24" s="338"/>
      <c r="Q24" s="338"/>
      <c r="R24" s="338"/>
      <c r="S24" s="338"/>
    </row>
    <row r="25" spans="1:19" x14ac:dyDescent="0.25">
      <c r="A25" s="339">
        <v>43983</v>
      </c>
      <c r="B25" s="340">
        <v>43983</v>
      </c>
      <c r="C25" s="341">
        <v>0.35109786949303157</v>
      </c>
      <c r="D25" s="341">
        <v>0.29589647908915118</v>
      </c>
      <c r="E25" s="341">
        <v>0.50051721419643291</v>
      </c>
      <c r="F25" s="341">
        <v>1.1460347466822043</v>
      </c>
      <c r="G25" s="341">
        <v>1.4117479586774881</v>
      </c>
      <c r="H25" s="341">
        <v>1.3613610348645606</v>
      </c>
      <c r="I25" s="338"/>
      <c r="J25" s="338"/>
      <c r="K25" s="338"/>
      <c r="L25" s="338"/>
      <c r="M25" s="338"/>
      <c r="N25" s="338"/>
      <c r="O25" s="338"/>
      <c r="P25" s="338"/>
      <c r="Q25" s="338"/>
      <c r="R25" s="338"/>
      <c r="S25" s="338"/>
    </row>
    <row r="26" spans="1:19" x14ac:dyDescent="0.25">
      <c r="A26" s="339">
        <v>44013</v>
      </c>
      <c r="B26" s="340">
        <v>44013</v>
      </c>
      <c r="C26" s="341">
        <v>1.445992479649135</v>
      </c>
      <c r="D26" s="341">
        <v>0.29589647908915118</v>
      </c>
      <c r="E26" s="341">
        <v>0.44923701333482891</v>
      </c>
      <c r="F26" s="341">
        <v>0.63313724448181574</v>
      </c>
      <c r="G26" s="341">
        <v>1.4117479586774881</v>
      </c>
      <c r="H26" s="341">
        <v>1.5604504941649211</v>
      </c>
      <c r="I26" s="338"/>
      <c r="J26" s="338"/>
      <c r="K26" s="338"/>
      <c r="L26" s="338"/>
      <c r="M26" s="338"/>
      <c r="N26" s="338"/>
      <c r="O26" s="338"/>
      <c r="P26" s="338"/>
      <c r="Q26" s="338"/>
      <c r="R26" s="338"/>
      <c r="S26" s="338"/>
    </row>
    <row r="27" spans="1:19" x14ac:dyDescent="0.25">
      <c r="A27" s="339">
        <v>44044</v>
      </c>
      <c r="B27" s="340">
        <v>44044</v>
      </c>
      <c r="C27" s="341">
        <v>0.55311533029245652</v>
      </c>
      <c r="D27" s="341">
        <v>0.29589647908915118</v>
      </c>
      <c r="E27" s="341">
        <v>6.1821181418701521E-2</v>
      </c>
      <c r="F27" s="341">
        <v>0.43647102813113747</v>
      </c>
      <c r="G27" s="341">
        <v>1.4117479586774881</v>
      </c>
      <c r="H27" s="341">
        <v>1.3890757549269175</v>
      </c>
      <c r="I27" s="338"/>
      <c r="J27" s="338"/>
      <c r="K27" s="338"/>
      <c r="L27" s="338"/>
      <c r="M27" s="338"/>
      <c r="N27" s="338"/>
      <c r="O27" s="338"/>
      <c r="P27" s="338"/>
      <c r="Q27" s="338"/>
      <c r="R27" s="338"/>
      <c r="S27" s="338"/>
    </row>
    <row r="28" spans="1:19" x14ac:dyDescent="0.25">
      <c r="A28" s="339">
        <v>44075</v>
      </c>
      <c r="B28" s="340">
        <v>44075</v>
      </c>
      <c r="C28" s="341">
        <v>0.43315059224670449</v>
      </c>
      <c r="D28" s="341">
        <v>0.29589647908915118</v>
      </c>
      <c r="E28" s="341">
        <v>9.7314466393348731E-2</v>
      </c>
      <c r="F28" s="341">
        <v>-0.43886946970442864</v>
      </c>
      <c r="G28" s="341">
        <v>1.4117479586774881</v>
      </c>
      <c r="H28" s="341">
        <v>-0.13451150017952296</v>
      </c>
      <c r="I28" s="338"/>
      <c r="J28" s="338"/>
      <c r="K28" s="338"/>
      <c r="L28" s="338"/>
      <c r="M28" s="338"/>
      <c r="N28" s="338"/>
      <c r="O28" s="338"/>
      <c r="P28" s="338"/>
      <c r="Q28" s="338"/>
      <c r="R28" s="338"/>
      <c r="S28" s="338"/>
    </row>
    <row r="29" spans="1:19" x14ac:dyDescent="0.25">
      <c r="A29" s="339">
        <v>44105</v>
      </c>
      <c r="B29" s="340">
        <v>44105</v>
      </c>
      <c r="C29" s="341">
        <v>-3.0418966189341319</v>
      </c>
      <c r="D29" s="341">
        <v>0.29589647908915118</v>
      </c>
      <c r="E29" s="341">
        <v>0.25870920664838692</v>
      </c>
      <c r="F29" s="341">
        <v>-0.22243993453307098</v>
      </c>
      <c r="G29" s="341">
        <v>1.4117479586774881</v>
      </c>
      <c r="H29" s="341">
        <v>-1.2518740957065084</v>
      </c>
      <c r="I29" s="338"/>
      <c r="J29" s="338"/>
      <c r="K29" s="338"/>
      <c r="L29" s="338"/>
      <c r="M29" s="338"/>
      <c r="N29" s="338"/>
      <c r="O29" s="338"/>
      <c r="P29" s="338"/>
      <c r="Q29" s="338"/>
      <c r="R29" s="338"/>
      <c r="S29" s="338"/>
    </row>
    <row r="30" spans="1:19" x14ac:dyDescent="0.25">
      <c r="A30" s="339">
        <v>44136</v>
      </c>
      <c r="B30" s="340">
        <v>44136</v>
      </c>
      <c r="C30" s="341">
        <v>-1.9979549964796917</v>
      </c>
      <c r="D30" s="341">
        <v>0.29589647908915118</v>
      </c>
      <c r="E30" s="341">
        <v>0.34767548102536727</v>
      </c>
      <c r="F30" s="341">
        <v>0.14474396040387205</v>
      </c>
      <c r="G30" s="341">
        <v>1.4117479586774881</v>
      </c>
      <c r="H30" s="341">
        <v>-0.56436951710405703</v>
      </c>
      <c r="I30" s="338"/>
      <c r="J30" s="338"/>
      <c r="K30" s="338"/>
      <c r="L30" s="338"/>
      <c r="M30" s="338"/>
      <c r="N30" s="338"/>
      <c r="O30" s="338"/>
      <c r="P30" s="338"/>
      <c r="Q30" s="338"/>
      <c r="R30" s="338"/>
      <c r="S30" s="338"/>
    </row>
    <row r="31" spans="1:19" x14ac:dyDescent="0.25">
      <c r="A31" s="339">
        <v>44166</v>
      </c>
      <c r="B31" s="340">
        <v>44166</v>
      </c>
      <c r="C31" s="341">
        <v>-1.6091007949797955</v>
      </c>
      <c r="D31" s="341">
        <v>0.29589647908915118</v>
      </c>
      <c r="E31" s="341">
        <v>0.57243627171451728</v>
      </c>
      <c r="F31" s="341">
        <v>1.1338765666219643</v>
      </c>
      <c r="G31" s="341">
        <v>1.4117479586774881</v>
      </c>
      <c r="H31" s="341">
        <v>0.40067824576544586</v>
      </c>
      <c r="I31" s="338"/>
      <c r="J31" s="338"/>
      <c r="K31" s="338"/>
      <c r="L31" s="338"/>
      <c r="M31" s="338"/>
      <c r="N31" s="338"/>
      <c r="O31" s="338"/>
      <c r="P31" s="338"/>
      <c r="Q31" s="338"/>
      <c r="R31" s="338"/>
      <c r="S31" s="338"/>
    </row>
    <row r="32" spans="1:19" x14ac:dyDescent="0.25">
      <c r="A32" s="339">
        <v>44197</v>
      </c>
      <c r="B32" s="340">
        <v>44197</v>
      </c>
      <c r="C32" s="341">
        <v>2.097712463193858</v>
      </c>
      <c r="D32" s="341">
        <v>0.29589647908915118</v>
      </c>
      <c r="E32" s="341">
        <v>0.13497353456070504</v>
      </c>
      <c r="F32" s="341">
        <v>2.0380295643737583</v>
      </c>
      <c r="G32" s="341">
        <v>1.4117479586774881</v>
      </c>
      <c r="H32" s="341">
        <v>0.4571317487545179</v>
      </c>
      <c r="I32" s="342"/>
      <c r="J32" s="342"/>
      <c r="K32" s="342"/>
      <c r="L32" s="342"/>
      <c r="M32" s="342"/>
      <c r="N32" s="342"/>
      <c r="O32" s="342"/>
      <c r="P32" s="342"/>
      <c r="Q32" s="342"/>
      <c r="R32" s="342"/>
      <c r="S32" s="342"/>
    </row>
    <row r="33" spans="1:19" x14ac:dyDescent="0.25">
      <c r="A33" s="339">
        <v>44228</v>
      </c>
      <c r="B33" s="340">
        <v>44228</v>
      </c>
      <c r="C33" s="341">
        <v>3.0552014687847731</v>
      </c>
      <c r="D33" s="341">
        <v>0.29589647908915118</v>
      </c>
      <c r="E33" s="341">
        <v>0.19771957544219054</v>
      </c>
      <c r="F33" s="341">
        <v>2.5027743856185509</v>
      </c>
      <c r="G33" s="341">
        <v>1.4117479586774881</v>
      </c>
      <c r="H33" s="341">
        <v>0.66133135777071983</v>
      </c>
    </row>
    <row r="34" spans="1:19" x14ac:dyDescent="0.25">
      <c r="A34" s="339">
        <v>44256</v>
      </c>
      <c r="B34" s="340">
        <v>44256</v>
      </c>
      <c r="C34" s="341">
        <v>4.394291977959881</v>
      </c>
      <c r="D34" s="341">
        <v>0.29589647908915118</v>
      </c>
      <c r="E34" s="341">
        <v>-3.8367666986869775E-2</v>
      </c>
      <c r="F34" s="341">
        <v>2.4666270014159153</v>
      </c>
      <c r="G34" s="341">
        <v>1.4117479586774881</v>
      </c>
      <c r="H34" s="341">
        <v>0.56838821010961427</v>
      </c>
    </row>
    <row r="35" spans="1:19" x14ac:dyDescent="0.25">
      <c r="A35" s="339">
        <v>44287</v>
      </c>
      <c r="B35" s="340">
        <v>44287</v>
      </c>
      <c r="C35" s="341">
        <v>1.9633378889735553</v>
      </c>
      <c r="D35" s="341">
        <v>0.29589647908915118</v>
      </c>
      <c r="E35" s="341">
        <v>0.26728128189607281</v>
      </c>
      <c r="F35" s="341">
        <v>1.4967376946780462</v>
      </c>
      <c r="G35" s="341">
        <v>1.4117479586774881</v>
      </c>
      <c r="H35" s="341">
        <v>0.59082826279389566</v>
      </c>
      <c r="I35" s="343"/>
      <c r="J35" s="343"/>
      <c r="K35" s="343"/>
      <c r="L35" s="343"/>
      <c r="M35" s="343"/>
      <c r="N35" s="343"/>
      <c r="O35" s="343"/>
      <c r="P35" s="343"/>
      <c r="Q35" s="343"/>
      <c r="R35" s="343"/>
      <c r="S35" s="343"/>
    </row>
    <row r="36" spans="1:19" x14ac:dyDescent="0.25">
      <c r="A36" s="339">
        <v>44317</v>
      </c>
      <c r="B36" s="340">
        <v>44317</v>
      </c>
      <c r="C36" s="341">
        <v>0.65568982393425301</v>
      </c>
      <c r="D36" s="341">
        <v>0.29589647908915118</v>
      </c>
      <c r="E36" s="341">
        <v>0.62502748300360622</v>
      </c>
      <c r="F36" s="341">
        <v>0.87461560801828853</v>
      </c>
      <c r="G36" s="341">
        <v>1.4117479586774881</v>
      </c>
      <c r="H36" s="341">
        <v>0.25455341099274564</v>
      </c>
      <c r="I36" s="343"/>
      <c r="J36" s="343"/>
      <c r="K36" s="343"/>
      <c r="L36" s="343"/>
      <c r="M36" s="343"/>
      <c r="N36" s="343"/>
      <c r="O36" s="343"/>
      <c r="P36" s="343"/>
      <c r="Q36" s="343"/>
      <c r="R36" s="343"/>
      <c r="S36" s="343"/>
    </row>
    <row r="37" spans="1:19" x14ac:dyDescent="0.25">
      <c r="A37" s="339">
        <v>44348</v>
      </c>
      <c r="B37" s="340">
        <v>44348</v>
      </c>
      <c r="C37" s="341">
        <v>0.1797305184728657</v>
      </c>
      <c r="D37" s="341">
        <v>0.29589647908915118</v>
      </c>
      <c r="E37" s="341">
        <v>1.00929868243902</v>
      </c>
      <c r="F37" s="341">
        <v>0.49856990187906547</v>
      </c>
      <c r="G37" s="341">
        <v>1.4117479586774881</v>
      </c>
      <c r="H37" s="341">
        <v>0.58984358230781986</v>
      </c>
      <c r="I37" s="344"/>
      <c r="J37" s="344"/>
      <c r="K37" s="344"/>
      <c r="L37" s="343"/>
      <c r="M37" s="343"/>
      <c r="N37" s="343"/>
      <c r="O37" s="343"/>
      <c r="P37" s="343"/>
      <c r="Q37" s="343"/>
      <c r="R37" s="343"/>
      <c r="S37" s="343"/>
    </row>
    <row r="38" spans="1:19" x14ac:dyDescent="0.25">
      <c r="A38" s="339">
        <v>44378</v>
      </c>
      <c r="B38" s="340">
        <v>44378</v>
      </c>
      <c r="C38" s="341">
        <v>2.4797015440428822</v>
      </c>
      <c r="D38" s="341">
        <v>0.29589647908915118</v>
      </c>
      <c r="E38" s="341">
        <v>1.077552209771258</v>
      </c>
      <c r="F38" s="341">
        <v>0.89902983564358863</v>
      </c>
      <c r="G38" s="341">
        <v>1.4117479586774881</v>
      </c>
      <c r="H38" s="341">
        <v>0.62687138949302401</v>
      </c>
      <c r="I38" s="344"/>
      <c r="J38" s="344"/>
      <c r="K38" s="344"/>
      <c r="L38" s="343"/>
      <c r="M38" s="343"/>
      <c r="N38" s="343"/>
      <c r="O38" s="343"/>
      <c r="P38" s="343"/>
      <c r="Q38" s="343"/>
      <c r="R38" s="343"/>
      <c r="S38" s="343"/>
    </row>
    <row r="39" spans="1:19" x14ac:dyDescent="0.25">
      <c r="A39" s="339">
        <v>44409</v>
      </c>
      <c r="B39" s="340">
        <v>44409</v>
      </c>
      <c r="C39" s="341">
        <v>4.0516696717592993</v>
      </c>
      <c r="D39" s="341">
        <v>0.29589647908915118</v>
      </c>
      <c r="E39" s="341">
        <v>1.40936416929282</v>
      </c>
      <c r="F39" s="341">
        <v>1.326887495450805</v>
      </c>
      <c r="G39" s="341">
        <v>1.4117479586774881</v>
      </c>
      <c r="H39" s="341">
        <v>0.62560460396089068</v>
      </c>
      <c r="I39" s="343"/>
      <c r="J39" s="343"/>
      <c r="K39" s="343"/>
      <c r="L39" s="343"/>
      <c r="M39" s="343"/>
      <c r="N39" s="343"/>
    </row>
    <row r="40" spans="1:19" x14ac:dyDescent="0.25">
      <c r="A40" s="339">
        <v>44440</v>
      </c>
      <c r="B40" s="340">
        <v>44440</v>
      </c>
      <c r="C40" s="341">
        <v>4.1137191910681707</v>
      </c>
      <c r="D40" s="341">
        <v>0.29589647908915118</v>
      </c>
      <c r="E40" s="341">
        <v>1.848946553295161</v>
      </c>
      <c r="F40" s="341">
        <v>2.0394882935378149</v>
      </c>
      <c r="G40" s="341">
        <v>1.4117479586774881</v>
      </c>
      <c r="H40" s="341">
        <v>1.1423890497211127</v>
      </c>
      <c r="L40" s="343"/>
      <c r="M40" s="343"/>
      <c r="N40" s="343"/>
    </row>
    <row r="41" spans="1:19" x14ac:dyDescent="0.25">
      <c r="A41" s="339">
        <v>44470</v>
      </c>
      <c r="B41" s="340">
        <v>44470</v>
      </c>
      <c r="C41" s="341">
        <v>2.3571591093585198</v>
      </c>
      <c r="D41" s="341">
        <v>0.29589647908915118</v>
      </c>
      <c r="E41" s="341">
        <v>2.6516412126311066</v>
      </c>
      <c r="F41" s="341">
        <v>2.9696521464481265</v>
      </c>
      <c r="G41" s="341">
        <v>1.4117479586774881</v>
      </c>
      <c r="H41" s="341">
        <v>1.5587640887564713</v>
      </c>
      <c r="I41" s="345"/>
      <c r="J41" s="345"/>
      <c r="K41" s="345"/>
      <c r="L41" s="343"/>
      <c r="M41" s="343"/>
      <c r="N41" s="343"/>
    </row>
    <row r="42" spans="1:19" x14ac:dyDescent="0.25">
      <c r="A42" s="339">
        <v>44501</v>
      </c>
      <c r="B42" s="340">
        <v>44501</v>
      </c>
      <c r="C42" s="341">
        <v>1.1690553620628634</v>
      </c>
      <c r="D42" s="341">
        <v>0.29589647908915118</v>
      </c>
      <c r="E42" s="341">
        <v>3.6658688776812065</v>
      </c>
      <c r="F42" s="341">
        <v>4.0870434659858574</v>
      </c>
      <c r="G42" s="341">
        <v>1.4117479586774881</v>
      </c>
      <c r="H42" s="341">
        <v>1.992250771769327</v>
      </c>
      <c r="I42" s="344"/>
      <c r="J42" s="344"/>
      <c r="K42" s="344"/>
    </row>
    <row r="43" spans="1:19" x14ac:dyDescent="0.25">
      <c r="A43" s="339">
        <v>44531</v>
      </c>
      <c r="B43" s="340">
        <v>44531</v>
      </c>
      <c r="C43" s="341">
        <v>1.324948621191723</v>
      </c>
      <c r="D43" s="341">
        <v>0.29589647908915118</v>
      </c>
      <c r="E43" s="341">
        <v>4.4845028296175675</v>
      </c>
      <c r="F43" s="341">
        <v>4.5799643166939887</v>
      </c>
      <c r="G43" s="341">
        <v>1.4117479586774881</v>
      </c>
      <c r="H43" s="341">
        <v>2.7683016048079083</v>
      </c>
      <c r="I43" s="346"/>
      <c r="J43" s="346"/>
      <c r="K43" s="346"/>
      <c r="L43" s="343"/>
      <c r="M43" s="343"/>
      <c r="N43" s="343"/>
    </row>
    <row r="44" spans="1:19" x14ac:dyDescent="0.25">
      <c r="A44" s="339">
        <v>44562</v>
      </c>
      <c r="B44" s="340">
        <v>44562</v>
      </c>
      <c r="C44" s="341">
        <v>3.0875271831249052</v>
      </c>
      <c r="D44" s="341">
        <v>0.29589647908915118</v>
      </c>
      <c r="E44" s="341">
        <v>5.3328165401430159</v>
      </c>
      <c r="F44" s="341">
        <v>4.4970759227222601</v>
      </c>
      <c r="G44" s="341">
        <v>1.4117479586774881</v>
      </c>
      <c r="H44" s="341">
        <v>2.748965929263318</v>
      </c>
      <c r="I44" s="347"/>
      <c r="J44" s="347"/>
      <c r="K44" s="347"/>
      <c r="L44" s="343"/>
      <c r="M44" s="343"/>
      <c r="N44" s="343"/>
    </row>
    <row r="45" spans="1:19" x14ac:dyDescent="0.25">
      <c r="A45" s="339">
        <v>44593</v>
      </c>
      <c r="B45" s="340">
        <v>44593</v>
      </c>
      <c r="C45" s="341">
        <v>4.7191172226921623</v>
      </c>
      <c r="D45" s="341">
        <v>0.29589647908915118</v>
      </c>
      <c r="E45" s="341">
        <v>5.6933738257011193</v>
      </c>
      <c r="F45" s="341">
        <v>3.5762747101991437</v>
      </c>
      <c r="G45" s="341">
        <v>1.4117479586774881</v>
      </c>
      <c r="H45" s="341">
        <v>2.7814948888985027</v>
      </c>
      <c r="I45" s="346"/>
      <c r="J45" s="346"/>
      <c r="K45" s="346"/>
    </row>
    <row r="46" spans="1:19" x14ac:dyDescent="0.25">
      <c r="A46" s="339">
        <v>44621</v>
      </c>
      <c r="B46" s="340">
        <v>44621</v>
      </c>
      <c r="C46" s="341">
        <v>5.6472847276501739</v>
      </c>
      <c r="D46" s="341">
        <v>0.29589647908915118</v>
      </c>
      <c r="E46" s="341">
        <v>6.4096734326874083</v>
      </c>
      <c r="F46" s="341">
        <v>3.0371057065686955</v>
      </c>
      <c r="G46" s="341">
        <v>1.4117479586774881</v>
      </c>
      <c r="H46" s="341">
        <v>3.1905298914563227</v>
      </c>
      <c r="I46" s="346"/>
      <c r="J46" s="346"/>
      <c r="K46" s="346"/>
      <c r="L46" s="343"/>
      <c r="M46" s="343"/>
      <c r="N46" s="343"/>
    </row>
    <row r="47" spans="1:19" x14ac:dyDescent="0.25">
      <c r="A47" s="339">
        <v>44652</v>
      </c>
      <c r="B47" s="340">
        <v>44652</v>
      </c>
      <c r="C47" s="341">
        <v>5.7720890089713492</v>
      </c>
      <c r="D47" s="341">
        <v>0.29589647908915118</v>
      </c>
      <c r="E47" s="341">
        <v>6.6128850315883421</v>
      </c>
      <c r="F47" s="341">
        <v>2.9382466445823496</v>
      </c>
      <c r="G47" s="341">
        <v>1.4117479586774881</v>
      </c>
      <c r="H47" s="341">
        <v>3.6891961791052679</v>
      </c>
      <c r="I47" s="343"/>
      <c r="J47" s="343"/>
      <c r="K47" s="343"/>
      <c r="L47" s="343"/>
      <c r="M47" s="343"/>
      <c r="N47" s="343"/>
    </row>
    <row r="48" spans="1:19" x14ac:dyDescent="0.25">
      <c r="A48" s="339">
        <v>44682</v>
      </c>
      <c r="B48" s="340">
        <v>44682</v>
      </c>
      <c r="C48" s="341">
        <v>5.5566271349083394</v>
      </c>
      <c r="D48" s="341">
        <v>0.29589647908915118</v>
      </c>
      <c r="E48" s="341">
        <v>6.7260698174480158</v>
      </c>
      <c r="F48" s="341">
        <v>3.6343443778291942</v>
      </c>
      <c r="G48" s="341">
        <v>1.4117479586774881</v>
      </c>
      <c r="H48" s="341">
        <v>4.5434332545968159</v>
      </c>
    </row>
    <row r="49" spans="1:14" x14ac:dyDescent="0.25">
      <c r="A49" s="339">
        <v>44713</v>
      </c>
      <c r="B49" s="340">
        <v>44713</v>
      </c>
      <c r="C49" s="341">
        <v>5.5958793299044203</v>
      </c>
      <c r="D49" s="341">
        <v>0.29589647908915118</v>
      </c>
      <c r="E49" s="341">
        <v>6.4023276861193654</v>
      </c>
      <c r="F49" s="341">
        <v>3.7750213190722093</v>
      </c>
      <c r="G49" s="341">
        <v>1.4117479586774881</v>
      </c>
      <c r="H49" s="341">
        <v>4.146386964450782</v>
      </c>
      <c r="I49" s="343"/>
      <c r="J49" s="343"/>
      <c r="K49" s="343"/>
      <c r="L49" s="343"/>
      <c r="M49" s="343"/>
      <c r="N49" s="343"/>
    </row>
    <row r="50" spans="1:14" x14ac:dyDescent="0.25">
      <c r="A50" s="339">
        <v>44743</v>
      </c>
      <c r="B50" s="340">
        <v>44743</v>
      </c>
      <c r="C50" s="341">
        <v>6.1730631608440518</v>
      </c>
      <c r="D50" s="341">
        <v>0.29589647908915118</v>
      </c>
      <c r="E50" s="341">
        <v>6.3900034341701311</v>
      </c>
      <c r="F50" s="341">
        <v>3.5164456673798128</v>
      </c>
      <c r="G50" s="341">
        <v>1.4117479586774881</v>
      </c>
      <c r="H50" s="341">
        <v>4.4183163043753639</v>
      </c>
      <c r="I50" s="343"/>
      <c r="J50" s="343"/>
      <c r="K50" s="343"/>
      <c r="L50" s="343"/>
      <c r="M50" s="343"/>
      <c r="N50" s="343"/>
    </row>
    <row r="51" spans="1:14" x14ac:dyDescent="0.25">
      <c r="A51" s="339">
        <v>44774</v>
      </c>
      <c r="B51" s="340">
        <v>44774</v>
      </c>
      <c r="C51" s="341">
        <v>6.9320180059822718</v>
      </c>
      <c r="D51" s="341">
        <v>0.29589647908915118</v>
      </c>
      <c r="E51" s="341">
        <v>6.771508686818561</v>
      </c>
      <c r="F51" s="341">
        <v>2.9705092345006108</v>
      </c>
      <c r="G51" s="341">
        <v>1.4117479586774881</v>
      </c>
      <c r="H51" s="341">
        <v>4.6989933859654949</v>
      </c>
      <c r="I51" s="343"/>
      <c r="J51" s="343"/>
      <c r="K51" s="343"/>
      <c r="L51" s="343"/>
      <c r="M51" s="343"/>
      <c r="N51" s="343"/>
    </row>
    <row r="52" spans="1:14" x14ac:dyDescent="0.25">
      <c r="A52" s="339">
        <v>44805</v>
      </c>
      <c r="B52" s="340">
        <v>44805</v>
      </c>
      <c r="C52" s="341">
        <v>7.436762059473395</v>
      </c>
      <c r="D52" s="341">
        <v>0.29589647908915118</v>
      </c>
      <c r="E52" s="341">
        <v>6.6703018884795995</v>
      </c>
      <c r="F52" s="341">
        <v>4.1502811938726012</v>
      </c>
      <c r="G52" s="341">
        <v>1.4117479586774881</v>
      </c>
      <c r="H52" s="341">
        <v>6.2999484960799563</v>
      </c>
    </row>
    <row r="53" spans="1:14" x14ac:dyDescent="0.25">
      <c r="A53" s="339">
        <v>44835</v>
      </c>
      <c r="B53" s="340">
        <v>44835</v>
      </c>
      <c r="C53" s="341">
        <v>7.1842441260475027</v>
      </c>
      <c r="D53" s="341">
        <v>0.29589647908915118</v>
      </c>
      <c r="E53" s="341">
        <v>6.3537845395006904</v>
      </c>
      <c r="F53" s="341">
        <v>5.5009047774333482</v>
      </c>
      <c r="G53" s="341">
        <v>1.4117479586774881</v>
      </c>
      <c r="H53" s="341">
        <v>6.1104642719658315</v>
      </c>
      <c r="I53" s="343"/>
      <c r="J53" s="343"/>
      <c r="K53" s="343"/>
      <c r="L53" s="343"/>
      <c r="M53" s="343"/>
      <c r="N53" s="343"/>
    </row>
    <row r="54" spans="1:14" x14ac:dyDescent="0.25">
      <c r="A54" s="339">
        <v>44866</v>
      </c>
      <c r="B54" s="340">
        <v>44866</v>
      </c>
      <c r="C54" s="341">
        <v>6.6430003620829012</v>
      </c>
      <c r="D54" s="341">
        <v>0.29589647908915118</v>
      </c>
      <c r="E54" s="341">
        <v>5.8824598888095725</v>
      </c>
      <c r="F54" s="341">
        <v>6.9656799202629145</v>
      </c>
      <c r="G54" s="341">
        <v>1.4117479586774881</v>
      </c>
      <c r="H54" s="341">
        <v>5.8285134276716626</v>
      </c>
      <c r="I54" s="343"/>
      <c r="J54" s="343"/>
      <c r="K54" s="343"/>
      <c r="L54" s="343"/>
      <c r="M54" s="343"/>
      <c r="N54" s="343"/>
    </row>
    <row r="55" spans="1:14" x14ac:dyDescent="0.25">
      <c r="A55" s="339">
        <v>44896</v>
      </c>
      <c r="B55" s="340">
        <v>44896</v>
      </c>
      <c r="C55" s="341">
        <v>6.3959660844176653</v>
      </c>
      <c r="D55" s="341">
        <v>0.29589647908915118</v>
      </c>
      <c r="E55" s="341">
        <v>5.6753951661023194</v>
      </c>
      <c r="F55" s="341">
        <v>6.3440173439697816</v>
      </c>
      <c r="G55" s="341">
        <v>1.4117479586774881</v>
      </c>
      <c r="H55" s="341">
        <v>5.9402598167613885</v>
      </c>
    </row>
    <row r="56" spans="1:14" x14ac:dyDescent="0.25">
      <c r="A56" s="339">
        <v>44927</v>
      </c>
      <c r="B56" s="340">
        <v>44927</v>
      </c>
      <c r="C56" s="341">
        <v>6.6653681108026461</v>
      </c>
      <c r="D56" s="341">
        <v>0.29589647908915118</v>
      </c>
      <c r="E56" s="341">
        <v>6.4046727250214044</v>
      </c>
      <c r="F56" s="341">
        <v>5.6518726433937729</v>
      </c>
      <c r="G56" s="341">
        <v>1.4117479586774881</v>
      </c>
      <c r="H56" s="341">
        <v>5.2506000174616236</v>
      </c>
    </row>
    <row r="57" spans="1:14" x14ac:dyDescent="0.25">
      <c r="A57" s="339">
        <v>44958</v>
      </c>
      <c r="B57" s="340">
        <v>44958</v>
      </c>
      <c r="C57" s="341">
        <v>7.2117769984882898</v>
      </c>
      <c r="D57" s="341">
        <v>0.29589647908915118</v>
      </c>
      <c r="E57" s="341">
        <v>6.5092624460493829</v>
      </c>
      <c r="F57" s="341">
        <v>4.9535715581531008</v>
      </c>
      <c r="G57" s="341">
        <v>1.4117479586774881</v>
      </c>
      <c r="H57" s="341">
        <v>4.7783472088971877</v>
      </c>
    </row>
    <row r="58" spans="1:14" x14ac:dyDescent="0.25">
      <c r="A58" s="339">
        <v>44986</v>
      </c>
      <c r="B58" s="340">
        <v>44986</v>
      </c>
      <c r="C58" s="341">
        <v>7.1488134940695716</v>
      </c>
      <c r="D58" s="341">
        <v>0.29589647908915118</v>
      </c>
      <c r="E58" s="341">
        <v>5.9844160924285816</v>
      </c>
      <c r="F58" s="341">
        <v>5.1806063499736155</v>
      </c>
      <c r="G58" s="341">
        <v>1.4117479586774881</v>
      </c>
      <c r="H58" s="341">
        <v>5.8209221805475595</v>
      </c>
    </row>
    <row r="59" spans="1:14" x14ac:dyDescent="0.25">
      <c r="A59" s="339">
        <v>45017</v>
      </c>
      <c r="B59" s="340">
        <v>45017</v>
      </c>
      <c r="C59" s="341">
        <v>6.0154325146410343</v>
      </c>
      <c r="D59" s="341">
        <v>0.29589647908915118</v>
      </c>
      <c r="E59" s="341">
        <v>5.3744391547259873</v>
      </c>
      <c r="F59" s="341">
        <v>5.7307820144635571</v>
      </c>
      <c r="G59" s="341">
        <v>1.4117479586774881</v>
      </c>
      <c r="H59" s="341">
        <v>5.7103135501384985</v>
      </c>
    </row>
    <row r="60" spans="1:14" x14ac:dyDescent="0.25">
      <c r="A60" s="339">
        <v>45047</v>
      </c>
      <c r="B60" s="340">
        <v>45047</v>
      </c>
      <c r="C60" s="341">
        <v>4.1931821236495637</v>
      </c>
      <c r="D60" s="341">
        <v>0.29589647908915118</v>
      </c>
      <c r="E60" s="341">
        <v>4.6228419313128271</v>
      </c>
      <c r="F60" s="341">
        <v>5.7113323121521944</v>
      </c>
      <c r="G60" s="341">
        <v>1.4117479586774881</v>
      </c>
      <c r="H60" s="341">
        <v>5.1597885474420417</v>
      </c>
    </row>
    <row r="61" spans="1:14" x14ac:dyDescent="0.25">
      <c r="A61" s="339">
        <v>45078</v>
      </c>
      <c r="B61" s="340">
        <v>45078</v>
      </c>
      <c r="C61" s="341">
        <v>2.5677261426954061</v>
      </c>
      <c r="D61" s="341">
        <v>0.29589647908915118</v>
      </c>
      <c r="E61" s="341">
        <v>4.1640977594617405</v>
      </c>
      <c r="F61" s="341">
        <v>5.3408633345170813</v>
      </c>
      <c r="G61" s="341">
        <v>1.4117479586774881</v>
      </c>
      <c r="H61" s="341">
        <v>4.6131447004962824</v>
      </c>
    </row>
    <row r="62" spans="1:14" x14ac:dyDescent="0.25">
      <c r="A62" s="339">
        <v>45108</v>
      </c>
      <c r="B62" s="340">
        <v>45108</v>
      </c>
      <c r="C62" s="341">
        <v>2.0156073744273897</v>
      </c>
      <c r="D62" s="341">
        <v>0.29589647908915118</v>
      </c>
      <c r="E62" s="341">
        <v>4.8612349742847858</v>
      </c>
      <c r="F62" s="341">
        <v>4.3518501780016408</v>
      </c>
      <c r="G62" s="341">
        <v>1.4117479586774881</v>
      </c>
      <c r="H62" s="341">
        <v>4.251691810656606</v>
      </c>
    </row>
    <row r="63" spans="1:14" x14ac:dyDescent="0.25">
      <c r="A63" s="339">
        <v>45139</v>
      </c>
      <c r="B63" s="340">
        <v>45139</v>
      </c>
      <c r="C63" s="341">
        <v>2.2346871515209159</v>
      </c>
      <c r="D63" s="341">
        <v>0.29589647908915118</v>
      </c>
      <c r="E63" s="341">
        <v>4.2107562991587599</v>
      </c>
      <c r="F63" s="341">
        <v>3.9417963025606468</v>
      </c>
      <c r="G63" s="341">
        <v>1.4117479586774881</v>
      </c>
      <c r="H63" s="341">
        <v>4.4575369786675632</v>
      </c>
    </row>
    <row r="64" spans="1:14" x14ac:dyDescent="0.25">
      <c r="A64" s="339">
        <v>45170</v>
      </c>
      <c r="B64" s="340">
        <v>45170</v>
      </c>
      <c r="C64" s="341">
        <v>2.2871035516322706</v>
      </c>
      <c r="D64" s="341">
        <v>0.29589647908915118</v>
      </c>
      <c r="E64" s="341">
        <v>3.1155921643280156</v>
      </c>
      <c r="F64" s="341">
        <v>3.6592586208437012</v>
      </c>
      <c r="G64" s="341">
        <v>1.4117479586774881</v>
      </c>
      <c r="H64" s="341">
        <v>3.9179490641408745</v>
      </c>
    </row>
    <row r="65" spans="1:8" x14ac:dyDescent="0.25">
      <c r="A65" s="339">
        <v>45200</v>
      </c>
      <c r="B65" s="340">
        <v>45200</v>
      </c>
      <c r="C65" s="341">
        <v>1.7064750215665185</v>
      </c>
      <c r="D65" s="341">
        <v>0.29589647908915118</v>
      </c>
      <c r="E65" s="341">
        <v>2.5925078506640564</v>
      </c>
      <c r="F65" s="341">
        <v>3.6062587289828087</v>
      </c>
      <c r="G65" s="341">
        <v>1.4117479586774881</v>
      </c>
      <c r="H65" s="341">
        <v>3.6257906691611037</v>
      </c>
    </row>
    <row r="66" spans="1:8" x14ac:dyDescent="0.25">
      <c r="A66" s="339">
        <v>45231</v>
      </c>
      <c r="B66" s="340">
        <v>45231</v>
      </c>
      <c r="C66" s="341">
        <v>0.5165234335012201</v>
      </c>
      <c r="D66" s="341">
        <v>0.29589647908915118</v>
      </c>
      <c r="E66" s="341">
        <v>1.9045695949819494</v>
      </c>
      <c r="F66" s="341">
        <v>3.0485672242605943</v>
      </c>
      <c r="G66" s="341">
        <v>1.4117479586774881</v>
      </c>
      <c r="H66" s="341">
        <v>3.0345344332609314</v>
      </c>
    </row>
    <row r="67" spans="1:8" x14ac:dyDescent="0.25">
      <c r="A67" s="339">
        <v>45261</v>
      </c>
      <c r="B67" s="340">
        <v>45261</v>
      </c>
      <c r="C67" s="341">
        <v>5.0096184251316345E-2</v>
      </c>
      <c r="D67" s="341">
        <v>0.29589647908915118</v>
      </c>
      <c r="E67" s="341">
        <v>1.1139212545868646</v>
      </c>
      <c r="F67" s="341">
        <v>2.5935658612244765</v>
      </c>
      <c r="G67" s="341">
        <v>1.4117479586774881</v>
      </c>
      <c r="H67" s="341">
        <v>2.3589713543334749</v>
      </c>
    </row>
    <row r="68" spans="1:8" x14ac:dyDescent="0.25">
      <c r="A68" s="339">
        <v>45292</v>
      </c>
      <c r="B68" s="340">
        <v>45292</v>
      </c>
      <c r="C68" s="341">
        <v>0.22978703692133706</v>
      </c>
      <c r="D68" s="341">
        <v>0.29589647908915118</v>
      </c>
      <c r="E68" s="341">
        <v>0.51985419110454689</v>
      </c>
      <c r="F68" s="341">
        <v>2.3192901834616038</v>
      </c>
      <c r="G68" s="341">
        <v>1.4117479586774881</v>
      </c>
      <c r="H68" s="341">
        <v>2.2966770879269447</v>
      </c>
    </row>
    <row r="69" spans="1:8" x14ac:dyDescent="0.25">
      <c r="A69" s="339">
        <v>45323</v>
      </c>
      <c r="B69" s="340">
        <v>45323</v>
      </c>
      <c r="C69" s="341">
        <v>1.0717025798879547</v>
      </c>
      <c r="D69" s="341">
        <v>0.29589647908915118</v>
      </c>
      <c r="E69" s="341">
        <v>0.10775447777050706</v>
      </c>
      <c r="F69" s="341">
        <v>3.1940892207694276</v>
      </c>
      <c r="G69" s="341">
        <v>1.4117479586774881</v>
      </c>
      <c r="H69" s="341">
        <v>2.5570838832651015</v>
      </c>
    </row>
    <row r="70" spans="1:8" x14ac:dyDescent="0.25">
      <c r="A70" s="339">
        <v>45352</v>
      </c>
      <c r="B70" s="340">
        <v>45352</v>
      </c>
      <c r="C70" s="341">
        <v>1.2763979909109509</v>
      </c>
      <c r="D70" s="341">
        <v>0.29589647908915118</v>
      </c>
      <c r="E70" s="341">
        <v>-0.27600148464129415</v>
      </c>
      <c r="F70" s="341">
        <v>4.3383566958805631</v>
      </c>
      <c r="G70" s="341">
        <v>1.4117479586774881</v>
      </c>
      <c r="H70" s="341">
        <v>2.6722325996314806</v>
      </c>
    </row>
    <row r="71" spans="1:8" x14ac:dyDescent="0.25">
      <c r="A71" s="339">
        <v>45383</v>
      </c>
      <c r="B71" s="340">
        <v>45383</v>
      </c>
      <c r="C71" s="341">
        <v>0.8252493800648466</v>
      </c>
      <c r="D71" s="341">
        <v>0.29589647908915118</v>
      </c>
      <c r="E71" s="341">
        <v>-0.54710758464501552</v>
      </c>
      <c r="F71" s="341">
        <v>5.3012966855424963</v>
      </c>
      <c r="G71" s="341">
        <v>1.4117479586774881</v>
      </c>
      <c r="H71" s="341">
        <v>2.5153870698790803</v>
      </c>
    </row>
    <row r="72" spans="1:8" x14ac:dyDescent="0.25">
      <c r="A72" s="339">
        <v>45413</v>
      </c>
      <c r="B72" s="340">
        <v>45413</v>
      </c>
      <c r="C72" s="341"/>
      <c r="D72" s="341">
        <v>0.29589647908915118</v>
      </c>
      <c r="E72" s="341">
        <v>-1.0901593658712341</v>
      </c>
      <c r="F72" s="341"/>
      <c r="G72" s="341">
        <v>1.4117479586774881</v>
      </c>
      <c r="H72" s="341">
        <v>2.6259844304289754</v>
      </c>
    </row>
    <row r="73" spans="1:8" x14ac:dyDescent="0.25">
      <c r="A73" s="339">
        <v>45444</v>
      </c>
      <c r="B73" s="340">
        <v>45444</v>
      </c>
      <c r="C73" s="341"/>
      <c r="D73" s="341">
        <v>0.29589647908915118</v>
      </c>
      <c r="E73" s="341">
        <v>-0.51429250370041224</v>
      </c>
      <c r="F73" s="341"/>
      <c r="G73" s="341">
        <v>1.4117479586774881</v>
      </c>
      <c r="H73" s="341">
        <v>2.4225252734823037</v>
      </c>
    </row>
    <row r="74" spans="1:8" x14ac:dyDescent="0.25">
      <c r="A74" s="339">
        <v>45474</v>
      </c>
      <c r="B74" s="340">
        <v>45474</v>
      </c>
      <c r="C74" s="341"/>
      <c r="D74" s="341">
        <v>0.29589647908915118</v>
      </c>
      <c r="E74" s="341">
        <v>-0.20106058386777281</v>
      </c>
      <c r="F74" s="341"/>
      <c r="G74" s="341">
        <v>1.4117479586774881</v>
      </c>
      <c r="H74" s="341">
        <v>2.6345504249875216</v>
      </c>
    </row>
    <row r="75" spans="1:8" x14ac:dyDescent="0.25">
      <c r="A75" s="339">
        <v>45505</v>
      </c>
      <c r="B75" s="340">
        <v>45505</v>
      </c>
      <c r="C75" s="341"/>
      <c r="D75" s="341">
        <v>0.29589647908915118</v>
      </c>
      <c r="E75" s="341">
        <v>-0.10524747361403008</v>
      </c>
      <c r="F75" s="341"/>
      <c r="G75" s="341">
        <v>1.4117479586774881</v>
      </c>
      <c r="H75" s="341">
        <v>2.7057783140719209</v>
      </c>
    </row>
    <row r="76" spans="1:8" x14ac:dyDescent="0.25">
      <c r="A76" s="339">
        <v>45536</v>
      </c>
      <c r="B76" s="340">
        <v>45536</v>
      </c>
      <c r="C76" s="341"/>
      <c r="D76" s="341">
        <v>0.29589647908915118</v>
      </c>
      <c r="E76" s="341">
        <v>-8.2660827060013986E-2</v>
      </c>
      <c r="F76" s="341"/>
      <c r="G76" s="341">
        <v>1.4117479586774881</v>
      </c>
      <c r="H76" s="341">
        <v>2.3964694033482896</v>
      </c>
    </row>
    <row r="77" spans="1:8" x14ac:dyDescent="0.25">
      <c r="A77" s="339">
        <v>45566</v>
      </c>
      <c r="B77" s="340">
        <v>45566</v>
      </c>
      <c r="C77" s="341"/>
      <c r="D77" s="341">
        <v>0.29589647908915118</v>
      </c>
      <c r="E77" s="341">
        <v>-1.5605471735587351E-2</v>
      </c>
      <c r="F77" s="341"/>
      <c r="G77" s="341">
        <v>1.4117479586774881</v>
      </c>
      <c r="H77" s="341">
        <v>2.4411968127224801</v>
      </c>
    </row>
    <row r="78" spans="1:8" x14ac:dyDescent="0.25">
      <c r="A78" s="339">
        <v>45597</v>
      </c>
      <c r="B78" s="340">
        <v>45597</v>
      </c>
      <c r="C78" s="341"/>
      <c r="D78" s="341">
        <v>0.29589647908915118</v>
      </c>
      <c r="E78" s="341">
        <v>-5.7620984048109225E-2</v>
      </c>
      <c r="F78" s="341"/>
      <c r="G78" s="341">
        <v>1.4117479586774881</v>
      </c>
      <c r="H78" s="341"/>
    </row>
    <row r="79" spans="1:8" x14ac:dyDescent="0.25">
      <c r="A79" s="339">
        <v>45627</v>
      </c>
      <c r="B79" s="340">
        <v>45627</v>
      </c>
      <c r="C79" s="341"/>
      <c r="D79" s="341">
        <v>0.29589647908915118</v>
      </c>
      <c r="E79" s="341">
        <v>0.33297147712569997</v>
      </c>
      <c r="F79" s="341"/>
      <c r="G79" s="341">
        <v>1.4117479586774881</v>
      </c>
      <c r="H79" s="341"/>
    </row>
    <row r="80" spans="1:8" x14ac:dyDescent="0.25">
      <c r="A80" s="339"/>
      <c r="B80" s="340"/>
      <c r="C80" s="341"/>
      <c r="D80" s="341"/>
      <c r="E80" s="341"/>
      <c r="F80" s="341"/>
      <c r="G80" s="341"/>
      <c r="H80" s="341"/>
    </row>
    <row r="81" spans="1:14" x14ac:dyDescent="0.25">
      <c r="A81" s="339"/>
      <c r="B81" s="340"/>
      <c r="C81" s="341"/>
      <c r="D81" s="341"/>
      <c r="E81" s="341"/>
      <c r="F81" s="341"/>
      <c r="G81" s="341"/>
      <c r="H81" s="341"/>
    </row>
    <row r="83" spans="1:14" x14ac:dyDescent="0.25">
      <c r="A83" s="327" t="s">
        <v>1251</v>
      </c>
      <c r="B83" s="348"/>
      <c r="I83" s="343"/>
      <c r="J83" s="343"/>
      <c r="K83" s="343"/>
      <c r="L83" s="343"/>
      <c r="M83" s="343"/>
      <c r="N83" s="343"/>
    </row>
    <row r="84" spans="1:14" x14ac:dyDescent="0.25">
      <c r="A84" s="327" t="s">
        <v>1252</v>
      </c>
      <c r="B84" s="348"/>
      <c r="I84" s="343"/>
      <c r="J84" s="343"/>
      <c r="K84" s="343"/>
      <c r="L84" s="343"/>
      <c r="M84" s="343"/>
      <c r="N84" s="343"/>
    </row>
  </sheetData>
  <mergeCells count="5">
    <mergeCell ref="C15:E15"/>
    <mergeCell ref="F15:H15"/>
    <mergeCell ref="C16:E16"/>
    <mergeCell ref="F16:H16"/>
    <mergeCell ref="C13:H13"/>
  </mergeCells>
  <hyperlinks>
    <hyperlink ref="A5" location="Índice!A1" display="Índice/Contents" xr:uid="{48A8D6C5-D81A-42EC-9E87-64058DACD7A1}"/>
  </hyperlinks>
  <pageMargins left="0.7" right="0.7" top="0.75" bottom="0.75" header="0.3" footer="0.3"/>
  <pageSetup paperSize="9"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6B22-E435-474F-986D-522435D207F1}">
  <sheetPr codeName="Sheet37"/>
  <dimension ref="A5:T54"/>
  <sheetViews>
    <sheetView showGridLines="0" topLeftCell="A5" zoomScaleNormal="100" workbookViewId="0">
      <selection activeCell="C33" sqref="C33"/>
    </sheetView>
  </sheetViews>
  <sheetFormatPr defaultRowHeight="15" x14ac:dyDescent="0.25"/>
  <cols>
    <col min="1" max="1" width="31.5703125" customWidth="1"/>
    <col min="2" max="2" width="7.5703125" bestFit="1" customWidth="1"/>
    <col min="3" max="11" width="23.42578125" customWidth="1"/>
  </cols>
  <sheetData>
    <row r="5" spans="1:20" ht="36" customHeight="1" x14ac:dyDescent="0.25">
      <c r="A5" s="49" t="s">
        <v>3</v>
      </c>
    </row>
    <row r="6" spans="1:20" ht="18.75" x14ac:dyDescent="0.25">
      <c r="A6" s="6" t="s">
        <v>179</v>
      </c>
    </row>
    <row r="7" spans="1:20" x14ac:dyDescent="0.25">
      <c r="A7" s="78" t="s">
        <v>156</v>
      </c>
    </row>
    <row r="8" spans="1:20" ht="18.75" x14ac:dyDescent="0.25">
      <c r="A8" s="6"/>
    </row>
    <row r="9" spans="1:20" x14ac:dyDescent="0.25">
      <c r="A9" s="7"/>
    </row>
    <row r="10" spans="1:20" x14ac:dyDescent="0.25">
      <c r="A10" t="s">
        <v>1253</v>
      </c>
    </row>
    <row r="11" spans="1:20" x14ac:dyDescent="0.25">
      <c r="A11" s="8" t="s">
        <v>1581</v>
      </c>
    </row>
    <row r="12" spans="1:20" x14ac:dyDescent="0.25">
      <c r="A12" s="8"/>
    </row>
    <row r="13" spans="1:20" x14ac:dyDescent="0.25">
      <c r="A13" s="9" t="s">
        <v>2</v>
      </c>
      <c r="C13" s="425" t="s">
        <v>1260</v>
      </c>
      <c r="D13" s="425"/>
      <c r="E13" s="425"/>
      <c r="F13" s="425" t="s">
        <v>1261</v>
      </c>
      <c r="G13" s="425"/>
      <c r="H13" s="425"/>
      <c r="I13" s="425" t="s">
        <v>1262</v>
      </c>
      <c r="J13" s="425"/>
      <c r="K13" s="425"/>
      <c r="L13" s="17"/>
      <c r="M13" s="17"/>
      <c r="N13" s="17"/>
      <c r="O13" s="17"/>
      <c r="P13" s="17"/>
      <c r="Q13" s="17"/>
      <c r="R13" s="17"/>
      <c r="S13" s="17"/>
      <c r="T13" s="17"/>
    </row>
    <row r="14" spans="1:20" x14ac:dyDescent="0.25">
      <c r="A14" s="8"/>
      <c r="C14" s="417" t="s">
        <v>1254</v>
      </c>
      <c r="D14" s="417"/>
      <c r="E14" s="417"/>
      <c r="F14" s="417" t="s">
        <v>1255</v>
      </c>
      <c r="G14" s="417"/>
      <c r="H14" s="417"/>
      <c r="I14" s="417" t="s">
        <v>1256</v>
      </c>
      <c r="J14" s="417"/>
      <c r="K14" s="417"/>
    </row>
    <row r="15" spans="1:20" x14ac:dyDescent="0.25">
      <c r="C15" s="419" t="s">
        <v>1257</v>
      </c>
      <c r="D15" s="419"/>
      <c r="E15" s="417"/>
      <c r="F15" s="419" t="s">
        <v>1258</v>
      </c>
      <c r="G15" s="419"/>
      <c r="H15" s="417"/>
      <c r="I15" s="419" t="s">
        <v>1259</v>
      </c>
      <c r="J15" s="419"/>
      <c r="K15" s="417"/>
    </row>
    <row r="17" spans="1:20" s="34" customFormat="1" x14ac:dyDescent="0.25">
      <c r="A17" s="9"/>
      <c r="C17" s="325" t="s">
        <v>1263</v>
      </c>
      <c r="D17" s="326">
        <v>45444</v>
      </c>
      <c r="E17" s="326">
        <v>45352</v>
      </c>
      <c r="F17" s="325" t="s">
        <v>1263</v>
      </c>
      <c r="G17" s="326">
        <v>45444</v>
      </c>
      <c r="H17" s="326">
        <v>45352</v>
      </c>
      <c r="I17" s="325" t="s">
        <v>1263</v>
      </c>
      <c r="J17" s="326">
        <v>45444</v>
      </c>
      <c r="K17" s="326">
        <v>45352</v>
      </c>
      <c r="L17" s="36"/>
      <c r="M17" s="36"/>
      <c r="N17" s="36"/>
      <c r="O17" s="36"/>
      <c r="P17" s="36"/>
      <c r="Q17" s="36"/>
      <c r="R17" s="36"/>
      <c r="S17" s="36"/>
      <c r="T17" s="36"/>
    </row>
    <row r="18" spans="1:20" x14ac:dyDescent="0.25">
      <c r="C18" s="325" t="s">
        <v>1264</v>
      </c>
      <c r="D18" s="326">
        <v>45444</v>
      </c>
      <c r="E18" s="326">
        <v>45352</v>
      </c>
      <c r="F18" s="325" t="s">
        <v>1264</v>
      </c>
      <c r="G18" s="326">
        <v>45444</v>
      </c>
      <c r="H18" s="326">
        <v>45352</v>
      </c>
      <c r="I18" s="325" t="s">
        <v>1264</v>
      </c>
      <c r="J18" s="326">
        <v>45444</v>
      </c>
      <c r="K18" s="326">
        <v>45352</v>
      </c>
      <c r="L18" s="31"/>
      <c r="M18" s="31"/>
      <c r="N18" s="31"/>
      <c r="O18" s="31"/>
      <c r="P18" s="31"/>
      <c r="Q18" s="31"/>
      <c r="R18" s="31"/>
      <c r="S18" s="31"/>
      <c r="T18" s="31"/>
    </row>
    <row r="19" spans="1:20" x14ac:dyDescent="0.25">
      <c r="A19" s="37" t="s">
        <v>1265</v>
      </c>
      <c r="B19" s="38" t="s">
        <v>1266</v>
      </c>
      <c r="C19" s="51">
        <v>27.841998163174782</v>
      </c>
      <c r="D19" s="51"/>
      <c r="E19" s="51"/>
      <c r="F19" s="51">
        <v>-0.30856131815044902</v>
      </c>
      <c r="G19" s="51"/>
      <c r="H19" s="51"/>
      <c r="I19" s="51">
        <v>152.84668376760405</v>
      </c>
      <c r="J19" s="51"/>
      <c r="K19" s="51"/>
      <c r="L19" s="31"/>
      <c r="M19" s="31"/>
      <c r="N19" s="31"/>
      <c r="O19" s="31"/>
      <c r="P19" s="31"/>
      <c r="Q19" s="31"/>
      <c r="R19" s="31"/>
      <c r="S19" s="31"/>
      <c r="T19" s="31"/>
    </row>
    <row r="20" spans="1:20" x14ac:dyDescent="0.25">
      <c r="A20" s="37" t="s">
        <v>1267</v>
      </c>
      <c r="B20" s="38" t="s">
        <v>1268</v>
      </c>
      <c r="C20" s="51">
        <v>28.467829125917596</v>
      </c>
      <c r="D20" s="51"/>
      <c r="E20" s="51"/>
      <c r="F20" s="51">
        <v>-0.31706086956521701</v>
      </c>
      <c r="G20" s="51"/>
      <c r="H20" s="51"/>
      <c r="I20" s="51">
        <v>152.067649742968</v>
      </c>
      <c r="J20" s="51"/>
      <c r="K20" s="51"/>
      <c r="L20" s="31"/>
      <c r="M20" s="31"/>
      <c r="N20" s="31"/>
      <c r="O20" s="31"/>
      <c r="P20" s="31"/>
      <c r="Q20" s="31"/>
      <c r="R20" s="31"/>
      <c r="S20" s="31"/>
      <c r="T20" s="31"/>
    </row>
    <row r="21" spans="1:20" x14ac:dyDescent="0.25">
      <c r="A21" s="37" t="s">
        <v>1269</v>
      </c>
      <c r="B21" s="38" t="s">
        <v>1270</v>
      </c>
      <c r="C21" s="51">
        <v>25.124432183124078</v>
      </c>
      <c r="D21" s="51"/>
      <c r="E21" s="51"/>
      <c r="F21" s="51">
        <v>-0.39670760399021299</v>
      </c>
      <c r="G21" s="51"/>
      <c r="H21" s="51"/>
      <c r="I21" s="51">
        <v>149.86049430488353</v>
      </c>
      <c r="J21" s="51"/>
      <c r="K21" s="51"/>
      <c r="L21" s="31"/>
      <c r="M21" s="31"/>
      <c r="N21" s="31"/>
      <c r="O21" s="31"/>
      <c r="P21" s="31"/>
      <c r="Q21" s="31"/>
      <c r="R21" s="31"/>
      <c r="S21" s="31"/>
      <c r="T21" s="31"/>
    </row>
    <row r="22" spans="1:20" x14ac:dyDescent="0.25">
      <c r="A22" s="37" t="s">
        <v>1271</v>
      </c>
      <c r="B22" s="38" t="s">
        <v>1272</v>
      </c>
      <c r="C22" s="51">
        <v>26.878720013535379</v>
      </c>
      <c r="D22" s="51"/>
      <c r="E22" s="51"/>
      <c r="F22" s="51">
        <v>-0.40305175983436897</v>
      </c>
      <c r="G22" s="51"/>
      <c r="H22" s="51"/>
      <c r="I22" s="51">
        <v>152.23398478001587</v>
      </c>
      <c r="J22" s="51"/>
      <c r="K22" s="51"/>
      <c r="L22" s="31"/>
      <c r="M22" s="31"/>
      <c r="N22" s="31"/>
      <c r="O22" s="31"/>
      <c r="P22" s="31"/>
      <c r="Q22" s="31"/>
      <c r="R22" s="31"/>
      <c r="S22" s="31"/>
      <c r="T22" s="31"/>
    </row>
    <row r="23" spans="1:20" x14ac:dyDescent="0.25">
      <c r="A23" s="37" t="s">
        <v>1273</v>
      </c>
      <c r="B23" s="38" t="s">
        <v>1274</v>
      </c>
      <c r="C23" s="51">
        <v>21.20644351344302</v>
      </c>
      <c r="D23" s="51"/>
      <c r="E23" s="51"/>
      <c r="F23" s="51">
        <v>-0.40542299077733901</v>
      </c>
      <c r="G23" s="51"/>
      <c r="H23" s="51"/>
      <c r="I23" s="51">
        <v>151.28747370779499</v>
      </c>
      <c r="J23" s="51"/>
      <c r="K23" s="51"/>
      <c r="L23" s="31"/>
      <c r="M23" s="31"/>
      <c r="N23" s="31"/>
      <c r="O23" s="31"/>
      <c r="P23" s="31"/>
      <c r="Q23" s="31"/>
      <c r="R23" s="31"/>
      <c r="S23" s="31"/>
      <c r="T23" s="31"/>
    </row>
    <row r="24" spans="1:20" x14ac:dyDescent="0.25">
      <c r="A24" s="37" t="s">
        <v>1275</v>
      </c>
      <c r="B24" s="38" t="s">
        <v>1276</v>
      </c>
      <c r="C24" s="51">
        <v>11.608261745264937</v>
      </c>
      <c r="D24" s="51"/>
      <c r="E24" s="51"/>
      <c r="F24" s="51">
        <v>-0.299651515151515</v>
      </c>
      <c r="G24" s="51"/>
      <c r="H24" s="51"/>
      <c r="I24" s="51">
        <v>140.9891637121861</v>
      </c>
      <c r="J24" s="51"/>
      <c r="K24" s="51"/>
      <c r="L24" s="31"/>
      <c r="M24" s="31"/>
      <c r="N24" s="31"/>
      <c r="O24" s="31"/>
      <c r="P24" s="31"/>
      <c r="Q24" s="31"/>
      <c r="R24" s="31"/>
      <c r="S24" s="31"/>
      <c r="T24" s="31"/>
    </row>
    <row r="25" spans="1:20" x14ac:dyDescent="0.25">
      <c r="A25" s="37" t="s">
        <v>1277</v>
      </c>
      <c r="B25" s="38" t="s">
        <v>1278</v>
      </c>
      <c r="C25" s="51">
        <v>17.05931172299826</v>
      </c>
      <c r="D25" s="51"/>
      <c r="E25" s="51"/>
      <c r="F25" s="51">
        <v>-0.47173611895350998</v>
      </c>
      <c r="G25" s="51"/>
      <c r="H25" s="51"/>
      <c r="I25" s="51">
        <v>151.24807732945962</v>
      </c>
      <c r="J25" s="51"/>
      <c r="K25" s="51"/>
      <c r="L25" s="31"/>
      <c r="M25" s="31"/>
      <c r="N25" s="31"/>
      <c r="O25" s="31"/>
      <c r="P25" s="31"/>
      <c r="Q25" s="31"/>
      <c r="R25" s="31"/>
      <c r="S25" s="31"/>
      <c r="T25" s="31"/>
    </row>
    <row r="26" spans="1:20" x14ac:dyDescent="0.25">
      <c r="A26" s="37" t="s">
        <v>1279</v>
      </c>
      <c r="B26" s="38" t="s">
        <v>1280</v>
      </c>
      <c r="C26" s="51">
        <v>19.31068388618117</v>
      </c>
      <c r="D26" s="51"/>
      <c r="E26" s="51"/>
      <c r="F26" s="51">
        <v>-0.52275145868624096</v>
      </c>
      <c r="G26" s="51"/>
      <c r="H26" s="51"/>
      <c r="I26" s="51">
        <v>164.61918484682499</v>
      </c>
      <c r="J26" s="51"/>
      <c r="K26" s="51"/>
      <c r="L26" s="31"/>
      <c r="M26" s="31"/>
      <c r="N26" s="31"/>
      <c r="O26" s="31"/>
      <c r="P26" s="31"/>
      <c r="Q26" s="31"/>
      <c r="R26" s="31"/>
      <c r="S26" s="31"/>
      <c r="T26" s="31"/>
    </row>
    <row r="27" spans="1:20" x14ac:dyDescent="0.25">
      <c r="A27" s="37" t="s">
        <v>708</v>
      </c>
      <c r="B27" s="38" t="s">
        <v>686</v>
      </c>
      <c r="C27" s="51">
        <v>25.987588715309236</v>
      </c>
      <c r="D27" s="51"/>
      <c r="E27" s="51"/>
      <c r="F27" s="51">
        <v>-0.54241152518978597</v>
      </c>
      <c r="G27" s="51"/>
      <c r="H27" s="51"/>
      <c r="I27" s="51">
        <v>189.86087175305161</v>
      </c>
      <c r="J27" s="51"/>
      <c r="K27" s="51"/>
      <c r="L27" s="31"/>
      <c r="M27" s="31"/>
      <c r="N27" s="31"/>
      <c r="O27" s="31"/>
      <c r="P27" s="31"/>
      <c r="Q27" s="31"/>
      <c r="R27" s="31"/>
      <c r="S27" s="31"/>
      <c r="T27" s="31"/>
    </row>
    <row r="28" spans="1:20" x14ac:dyDescent="0.25">
      <c r="A28" s="37" t="s">
        <v>709</v>
      </c>
      <c r="B28" s="38" t="s">
        <v>687</v>
      </c>
      <c r="C28" s="51">
        <v>30.773075737655756</v>
      </c>
      <c r="D28" s="51"/>
      <c r="E28" s="51"/>
      <c r="F28" s="51">
        <v>-0.54038023088023102</v>
      </c>
      <c r="G28" s="51"/>
      <c r="H28" s="51"/>
      <c r="I28" s="51">
        <v>211.90862127887476</v>
      </c>
      <c r="J28" s="51"/>
      <c r="K28" s="51"/>
      <c r="L28" s="31"/>
      <c r="M28" s="31"/>
      <c r="N28" s="31"/>
      <c r="O28" s="31"/>
      <c r="P28" s="31"/>
      <c r="Q28" s="31"/>
      <c r="R28" s="31"/>
      <c r="S28" s="31"/>
      <c r="T28" s="31"/>
    </row>
    <row r="29" spans="1:20" x14ac:dyDescent="0.25">
      <c r="A29" s="37" t="s">
        <v>710</v>
      </c>
      <c r="B29" s="38" t="s">
        <v>688</v>
      </c>
      <c r="C29" s="51">
        <v>40.882759287312538</v>
      </c>
      <c r="D29" s="51"/>
      <c r="E29" s="51"/>
      <c r="F29" s="51">
        <v>-0.54581818181818198</v>
      </c>
      <c r="G29" s="51"/>
      <c r="H29" s="51"/>
      <c r="I29" s="51">
        <v>208.12883199425082</v>
      </c>
      <c r="J29" s="51"/>
      <c r="K29" s="51"/>
      <c r="L29" s="31"/>
      <c r="M29" s="31"/>
      <c r="N29" s="31"/>
      <c r="O29" s="31"/>
      <c r="P29" s="31"/>
      <c r="Q29" s="31"/>
      <c r="R29" s="31"/>
      <c r="S29" s="31"/>
      <c r="T29" s="31"/>
    </row>
    <row r="30" spans="1:20" x14ac:dyDescent="0.25">
      <c r="A30" s="37" t="s">
        <v>711</v>
      </c>
      <c r="B30" s="38" t="s">
        <v>689</v>
      </c>
      <c r="C30" s="51">
        <v>59.30442611401299</v>
      </c>
      <c r="D30" s="51"/>
      <c r="E30" s="51"/>
      <c r="F30" s="51">
        <v>-0.56637656063743003</v>
      </c>
      <c r="G30" s="51"/>
      <c r="H30" s="51"/>
      <c r="I30" s="51">
        <v>223.83696209449559</v>
      </c>
      <c r="J30" s="51"/>
      <c r="K30" s="51"/>
      <c r="L30" s="31"/>
      <c r="M30" s="31"/>
      <c r="N30" s="31"/>
      <c r="O30" s="31"/>
      <c r="P30" s="31"/>
      <c r="Q30" s="31"/>
      <c r="R30" s="31"/>
      <c r="S30" s="31"/>
      <c r="T30" s="31"/>
    </row>
    <row r="31" spans="1:20" x14ac:dyDescent="0.25">
      <c r="A31" s="37" t="s">
        <v>712</v>
      </c>
      <c r="B31" s="38" t="s">
        <v>690</v>
      </c>
      <c r="C31" s="51">
        <v>69.172968300022902</v>
      </c>
      <c r="D31" s="51"/>
      <c r="E31" s="51"/>
      <c r="F31" s="51">
        <v>-0.52902587993385097</v>
      </c>
      <c r="G31" s="51"/>
      <c r="H31" s="51"/>
      <c r="I31" s="51">
        <v>261.57224658466083</v>
      </c>
      <c r="J31" s="51"/>
      <c r="K31" s="51"/>
      <c r="L31" s="31"/>
      <c r="M31" s="31"/>
      <c r="N31" s="31"/>
      <c r="O31" s="31"/>
      <c r="P31" s="31"/>
      <c r="Q31" s="31"/>
      <c r="R31" s="31"/>
      <c r="S31" s="31"/>
      <c r="T31" s="31"/>
    </row>
    <row r="32" spans="1:20" x14ac:dyDescent="0.25">
      <c r="A32" s="37" t="s">
        <v>713</v>
      </c>
      <c r="B32" s="38" t="s">
        <v>691</v>
      </c>
      <c r="C32" s="51">
        <v>75.876094087630193</v>
      </c>
      <c r="D32" s="51"/>
      <c r="E32" s="51"/>
      <c r="F32" s="51">
        <v>-0.35774675324675298</v>
      </c>
      <c r="G32" s="51"/>
      <c r="H32" s="51"/>
      <c r="I32" s="51">
        <v>270.29541791681646</v>
      </c>
      <c r="J32" s="51"/>
      <c r="K32" s="51"/>
      <c r="L32" s="31"/>
      <c r="M32" s="31"/>
      <c r="N32" s="31"/>
      <c r="O32" s="31"/>
      <c r="P32" s="31"/>
      <c r="Q32" s="31"/>
      <c r="R32" s="31"/>
      <c r="S32" s="31"/>
      <c r="T32" s="31"/>
    </row>
    <row r="33" spans="1:20" x14ac:dyDescent="0.25">
      <c r="A33" s="37" t="s">
        <v>714</v>
      </c>
      <c r="B33" s="38" t="s">
        <v>692</v>
      </c>
      <c r="C33" s="51">
        <v>108.72024796465175</v>
      </c>
      <c r="D33" s="51"/>
      <c r="E33" s="51"/>
      <c r="F33" s="51">
        <v>0.48074060480582198</v>
      </c>
      <c r="G33" s="51"/>
      <c r="H33" s="51"/>
      <c r="I33" s="51">
        <v>235.52100471428776</v>
      </c>
      <c r="J33" s="51"/>
      <c r="K33" s="51"/>
      <c r="L33" s="31"/>
      <c r="M33" s="31"/>
      <c r="N33" s="31"/>
      <c r="O33" s="31"/>
      <c r="P33" s="31"/>
      <c r="Q33" s="31"/>
      <c r="R33" s="31"/>
      <c r="S33" s="31"/>
      <c r="T33" s="31"/>
    </row>
    <row r="34" spans="1:20" x14ac:dyDescent="0.25">
      <c r="A34" s="37" t="s">
        <v>715</v>
      </c>
      <c r="B34" s="38" t="s">
        <v>693</v>
      </c>
      <c r="C34" s="51">
        <v>67.111308733270619</v>
      </c>
      <c r="D34" s="51"/>
      <c r="E34" s="51"/>
      <c r="F34" s="51">
        <v>1.77329797979798</v>
      </c>
      <c r="G34" s="51"/>
      <c r="H34" s="51"/>
      <c r="I34" s="51">
        <v>226.34100209671081</v>
      </c>
      <c r="J34" s="51"/>
      <c r="K34" s="51"/>
      <c r="L34" s="31"/>
      <c r="M34" s="31"/>
      <c r="N34" s="31"/>
      <c r="O34" s="31"/>
      <c r="P34" s="31"/>
      <c r="Q34" s="31"/>
      <c r="R34" s="31"/>
      <c r="S34" s="31"/>
      <c r="T34" s="31"/>
    </row>
    <row r="35" spans="1:20" x14ac:dyDescent="0.25">
      <c r="A35" s="37" t="s">
        <v>716</v>
      </c>
      <c r="B35" s="38" t="s">
        <v>694</v>
      </c>
      <c r="C35" s="51">
        <v>47.783496823627537</v>
      </c>
      <c r="D35" s="51"/>
      <c r="E35" s="51"/>
      <c r="F35" s="51">
        <v>2.63192628458498</v>
      </c>
      <c r="G35" s="51"/>
      <c r="H35" s="51"/>
      <c r="I35" s="51">
        <v>226.07961650251323</v>
      </c>
      <c r="J35" s="51"/>
      <c r="K35" s="51"/>
      <c r="L35" s="31"/>
      <c r="M35" s="31"/>
      <c r="N35" s="31"/>
      <c r="O35" s="31"/>
      <c r="P35" s="31"/>
      <c r="Q35" s="31"/>
      <c r="R35" s="31"/>
      <c r="S35" s="31"/>
      <c r="T35" s="31"/>
    </row>
    <row r="36" spans="1:20" x14ac:dyDescent="0.25">
      <c r="A36" s="37" t="s">
        <v>717</v>
      </c>
      <c r="B36" s="38" t="s">
        <v>695</v>
      </c>
      <c r="C36" s="51">
        <v>40.383760423580746</v>
      </c>
      <c r="D36" s="51"/>
      <c r="E36" s="51"/>
      <c r="F36" s="51">
        <v>3.3561828063241101</v>
      </c>
      <c r="G36" s="51"/>
      <c r="H36" s="51"/>
      <c r="I36" s="51">
        <v>211.68967661168207</v>
      </c>
      <c r="J36" s="51"/>
      <c r="K36" s="51"/>
      <c r="L36" s="31"/>
      <c r="M36" s="31"/>
      <c r="N36" s="31"/>
      <c r="O36" s="31"/>
      <c r="P36" s="31"/>
      <c r="Q36" s="31"/>
      <c r="R36" s="31"/>
      <c r="S36" s="31"/>
      <c r="T36" s="31"/>
    </row>
    <row r="37" spans="1:20" x14ac:dyDescent="0.25">
      <c r="A37" s="37" t="s">
        <v>718</v>
      </c>
      <c r="B37" s="38" t="s">
        <v>696</v>
      </c>
      <c r="C37" s="51">
        <v>42.346609015898132</v>
      </c>
      <c r="D37" s="51"/>
      <c r="E37" s="51"/>
      <c r="F37" s="51">
        <v>3.7773871635610798</v>
      </c>
      <c r="G37" s="51"/>
      <c r="H37" s="51"/>
      <c r="I37" s="51">
        <v>204.97402468220037</v>
      </c>
      <c r="J37" s="51"/>
      <c r="K37" s="51"/>
      <c r="L37" s="31"/>
      <c r="M37" s="31"/>
      <c r="N37" s="31"/>
      <c r="O37" s="31"/>
      <c r="P37" s="31"/>
      <c r="Q37" s="31"/>
      <c r="R37" s="31"/>
      <c r="S37" s="31"/>
      <c r="T37" s="31"/>
    </row>
    <row r="38" spans="1:20" x14ac:dyDescent="0.25">
      <c r="A38" s="37" t="s">
        <v>719</v>
      </c>
      <c r="B38" s="38" t="s">
        <v>697</v>
      </c>
      <c r="C38" s="51">
        <v>44.994272350529521</v>
      </c>
      <c r="D38" s="51"/>
      <c r="E38" s="51">
        <v>44.99427236322326</v>
      </c>
      <c r="F38" s="51">
        <v>3.9574559884559899</v>
      </c>
      <c r="G38" s="51"/>
      <c r="H38" s="51">
        <v>3.9574558734893799</v>
      </c>
      <c r="I38" s="51">
        <v>206.60088582853291</v>
      </c>
      <c r="J38" s="51"/>
      <c r="K38" s="51">
        <v>206.60088590612142</v>
      </c>
      <c r="L38" s="31"/>
      <c r="M38" s="31"/>
      <c r="N38" s="31"/>
      <c r="O38" s="31"/>
      <c r="P38" s="31"/>
      <c r="Q38" s="31"/>
      <c r="R38" s="31"/>
      <c r="S38" s="31"/>
      <c r="T38" s="31"/>
    </row>
    <row r="39" spans="1:20" x14ac:dyDescent="0.25">
      <c r="A39" s="37" t="s">
        <v>720</v>
      </c>
      <c r="B39" s="38" t="s">
        <v>698</v>
      </c>
      <c r="C39" s="51">
        <v>39.674178847166054</v>
      </c>
      <c r="D39" s="51">
        <v>39.674178847166054</v>
      </c>
      <c r="E39" s="51">
        <v>39.587113158679408</v>
      </c>
      <c r="F39" s="51">
        <v>3.9233788819875799</v>
      </c>
      <c r="G39" s="51">
        <v>3.9233788819875799</v>
      </c>
      <c r="H39" s="51">
        <v>3.8882558345794678</v>
      </c>
      <c r="I39" s="51">
        <v>213.7638953503577</v>
      </c>
      <c r="J39" s="51">
        <v>213.7638953503577</v>
      </c>
      <c r="K39" s="51">
        <v>210.39182336034256</v>
      </c>
      <c r="L39" s="31"/>
      <c r="M39" s="31"/>
      <c r="N39" s="31"/>
      <c r="O39" s="31"/>
      <c r="P39" s="31"/>
      <c r="Q39" s="31"/>
      <c r="R39" s="31"/>
      <c r="S39" s="31"/>
      <c r="T39" s="31"/>
    </row>
    <row r="40" spans="1:20" x14ac:dyDescent="0.25">
      <c r="A40" s="37" t="s">
        <v>1281</v>
      </c>
      <c r="B40" s="38" t="s">
        <v>1282</v>
      </c>
      <c r="C40" s="51"/>
      <c r="D40" s="51">
        <v>41.240949742643821</v>
      </c>
      <c r="E40" s="51">
        <v>38.587037676649835</v>
      </c>
      <c r="F40" s="51"/>
      <c r="G40" s="51">
        <v>3.7860828282828298</v>
      </c>
      <c r="H40" s="51">
        <v>3.6533334255218506</v>
      </c>
      <c r="I40" s="51"/>
      <c r="J40" s="51">
        <v>244.3870368722861</v>
      </c>
      <c r="K40" s="51">
        <v>213.19500568833956</v>
      </c>
      <c r="L40" s="31"/>
      <c r="M40" s="31"/>
      <c r="N40" s="31"/>
      <c r="O40" s="31"/>
      <c r="P40" s="31"/>
      <c r="Q40" s="31"/>
      <c r="R40" s="31"/>
      <c r="S40" s="31"/>
      <c r="T40" s="31"/>
    </row>
    <row r="41" spans="1:20" x14ac:dyDescent="0.25">
      <c r="A41" s="37" t="s">
        <v>1283</v>
      </c>
      <c r="B41" s="38" t="s">
        <v>1284</v>
      </c>
      <c r="C41" s="51"/>
      <c r="D41" s="51">
        <v>40.404485550954291</v>
      </c>
      <c r="E41" s="51">
        <v>38.325443313885998</v>
      </c>
      <c r="F41" s="51"/>
      <c r="G41" s="51">
        <v>3.5433333333333299</v>
      </c>
      <c r="H41" s="51">
        <v>3.2650001049041748</v>
      </c>
      <c r="I41" s="51"/>
      <c r="J41" s="51">
        <v>244.87524978864141</v>
      </c>
      <c r="K41" s="51">
        <v>215.02333220662456</v>
      </c>
      <c r="L41" s="31"/>
      <c r="M41" s="31"/>
      <c r="N41" s="31"/>
      <c r="O41" s="31"/>
      <c r="P41" s="31"/>
      <c r="Q41" s="31"/>
      <c r="R41" s="31"/>
      <c r="S41" s="31"/>
      <c r="T41" s="31"/>
    </row>
    <row r="42" spans="1:20" x14ac:dyDescent="0.25">
      <c r="A42" s="37" t="s">
        <v>1285</v>
      </c>
      <c r="B42" s="38" t="s">
        <v>1286</v>
      </c>
      <c r="C42" s="51"/>
      <c r="D42" s="51">
        <v>41.124661405974585</v>
      </c>
      <c r="E42" s="51">
        <v>38.972014205338994</v>
      </c>
      <c r="F42" s="51"/>
      <c r="G42" s="51">
        <v>3.3</v>
      </c>
      <c r="H42" s="51">
        <v>2.9049999713897705</v>
      </c>
      <c r="I42" s="51"/>
      <c r="J42" s="51">
        <v>245.63615372752778</v>
      </c>
      <c r="K42" s="51">
        <v>216.01219722362083</v>
      </c>
      <c r="L42" s="31"/>
      <c r="M42" s="31"/>
      <c r="N42" s="31"/>
      <c r="O42" s="31"/>
      <c r="P42" s="31"/>
      <c r="Q42" s="31"/>
      <c r="R42" s="31"/>
      <c r="S42" s="31"/>
      <c r="T42" s="31"/>
    </row>
    <row r="43" spans="1:20" x14ac:dyDescent="0.25">
      <c r="A43" s="37" t="s">
        <v>1287</v>
      </c>
      <c r="B43" s="38" t="s">
        <v>1288</v>
      </c>
      <c r="C43" s="51"/>
      <c r="D43" s="51">
        <v>41.293963882310585</v>
      </c>
      <c r="E43" s="51">
        <v>39.156597820207587</v>
      </c>
      <c r="F43" s="51"/>
      <c r="G43" s="51">
        <v>3.0716666666666699</v>
      </c>
      <c r="H43" s="51">
        <v>2.6349999904632568</v>
      </c>
      <c r="I43" s="51"/>
      <c r="J43" s="51">
        <v>246.32096760729536</v>
      </c>
      <c r="K43" s="51">
        <v>217.16581879126016</v>
      </c>
      <c r="L43" s="18"/>
      <c r="M43" s="18"/>
      <c r="N43" s="18"/>
      <c r="O43" s="18"/>
      <c r="P43" s="18"/>
      <c r="Q43" s="18"/>
      <c r="R43" s="18"/>
      <c r="S43" s="18"/>
      <c r="T43" s="18"/>
    </row>
    <row r="44" spans="1:20" x14ac:dyDescent="0.25">
      <c r="A44" s="37" t="s">
        <v>1289</v>
      </c>
      <c r="B44" s="38" t="s">
        <v>1290</v>
      </c>
      <c r="C44" s="51"/>
      <c r="D44" s="51">
        <v>40.014927391491163</v>
      </c>
      <c r="E44" s="51">
        <v>37.594222660896385</v>
      </c>
      <c r="F44" s="51"/>
      <c r="G44" s="51">
        <v>2.8833333333333302</v>
      </c>
      <c r="H44" s="51">
        <v>2.4583332538604736</v>
      </c>
      <c r="I44" s="51"/>
      <c r="J44" s="51">
        <v>246.98356373882268</v>
      </c>
      <c r="K44" s="51">
        <v>218.1447643242029</v>
      </c>
    </row>
    <row r="45" spans="1:20" x14ac:dyDescent="0.25">
      <c r="A45" s="37" t="s">
        <v>1291</v>
      </c>
      <c r="B45" s="38" t="s">
        <v>1292</v>
      </c>
      <c r="C45" s="51"/>
      <c r="D45" s="51">
        <v>39.589630944495681</v>
      </c>
      <c r="E45" s="51">
        <v>37.228874117616527</v>
      </c>
      <c r="F45" s="51"/>
      <c r="G45" s="51">
        <v>2.7349999999999999</v>
      </c>
      <c r="H45" s="51">
        <v>2.3633332252502441</v>
      </c>
      <c r="I45" s="51"/>
      <c r="J45" s="51">
        <v>247.13656600551829</v>
      </c>
      <c r="K45" s="51">
        <v>218.62221068254249</v>
      </c>
    </row>
    <row r="46" spans="1:20" x14ac:dyDescent="0.25">
      <c r="A46" s="37" t="s">
        <v>1293</v>
      </c>
      <c r="B46" s="38" t="s">
        <v>1294</v>
      </c>
      <c r="C46" s="51"/>
      <c r="D46" s="51">
        <v>39.723589504940044</v>
      </c>
      <c r="E46" s="51">
        <v>37.554342145934278</v>
      </c>
      <c r="F46" s="51"/>
      <c r="G46" s="51">
        <v>2.62333333333333</v>
      </c>
      <c r="H46" s="51">
        <v>2.3266665935516357</v>
      </c>
      <c r="I46" s="51"/>
      <c r="J46" s="51">
        <v>246.96319253463383</v>
      </c>
      <c r="K46" s="51">
        <v>218.61891242283357</v>
      </c>
      <c r="L46" s="16"/>
      <c r="M46" s="16"/>
      <c r="N46" s="16"/>
      <c r="O46" s="16"/>
      <c r="P46" s="16"/>
      <c r="Q46" s="16"/>
      <c r="R46" s="16"/>
      <c r="S46" s="16"/>
      <c r="T46" s="16"/>
    </row>
    <row r="47" spans="1:20" x14ac:dyDescent="0.25">
      <c r="A47" s="37" t="s">
        <v>1295</v>
      </c>
      <c r="B47" s="38" t="s">
        <v>1296</v>
      </c>
      <c r="C47" s="51"/>
      <c r="D47" s="51">
        <v>39.484000315284923</v>
      </c>
      <c r="E47" s="51">
        <v>37.50951959117981</v>
      </c>
      <c r="F47" s="51"/>
      <c r="G47" s="51">
        <v>2.54666666666667</v>
      </c>
      <c r="H47" s="51">
        <v>2.3266665935516357</v>
      </c>
      <c r="I47" s="51"/>
      <c r="J47" s="51">
        <v>248.32820324141326</v>
      </c>
      <c r="K47" s="51">
        <v>219.2173933862874</v>
      </c>
      <c r="L47" s="16"/>
      <c r="M47" s="16"/>
      <c r="N47" s="16"/>
      <c r="O47" s="16"/>
      <c r="P47" s="16"/>
      <c r="Q47" s="16"/>
      <c r="R47" s="16"/>
      <c r="S47" s="16"/>
      <c r="T47" s="16"/>
    </row>
    <row r="48" spans="1:20" x14ac:dyDescent="0.25">
      <c r="A48" s="37" t="s">
        <v>1297</v>
      </c>
      <c r="B48" s="38" t="s">
        <v>1298</v>
      </c>
      <c r="C48" s="51"/>
      <c r="D48" s="51">
        <v>36.425942476638056</v>
      </c>
      <c r="E48" s="51">
        <v>35.684802391172482</v>
      </c>
      <c r="F48" s="51"/>
      <c r="G48" s="51">
        <v>2.4916666666666698</v>
      </c>
      <c r="H48" s="51">
        <v>2.3399999141693115</v>
      </c>
      <c r="I48" s="51"/>
      <c r="J48" s="51">
        <v>249.76848335954577</v>
      </c>
      <c r="K48" s="51">
        <v>219.38577514973611</v>
      </c>
      <c r="L48" s="22"/>
      <c r="M48" s="16"/>
      <c r="N48" s="16"/>
      <c r="O48" s="16"/>
      <c r="P48" s="16"/>
      <c r="Q48" s="16"/>
      <c r="R48" s="16"/>
      <c r="S48" s="16"/>
      <c r="T48" s="16"/>
    </row>
    <row r="49" spans="1:20" x14ac:dyDescent="0.25">
      <c r="A49" s="37" t="s">
        <v>1299</v>
      </c>
      <c r="B49" s="38" t="s">
        <v>1300</v>
      </c>
      <c r="C49" s="51"/>
      <c r="D49" s="51">
        <v>35.856528182827766</v>
      </c>
      <c r="E49" s="51">
        <v>35.289877942096709</v>
      </c>
      <c r="F49" s="51"/>
      <c r="G49" s="51">
        <v>2.4550000000000001</v>
      </c>
      <c r="H49" s="51">
        <v>2.3616666793823242</v>
      </c>
      <c r="I49" s="51"/>
      <c r="J49" s="51">
        <v>249.52932485210576</v>
      </c>
      <c r="K49" s="51">
        <v>218.26943284972091</v>
      </c>
      <c r="L49" s="22"/>
      <c r="M49" s="16"/>
      <c r="N49" s="16"/>
      <c r="O49" s="16"/>
      <c r="P49" s="16"/>
      <c r="Q49" s="16"/>
      <c r="R49" s="16"/>
      <c r="S49" s="16"/>
      <c r="T49" s="16"/>
    </row>
    <row r="50" spans="1:20" x14ac:dyDescent="0.25">
      <c r="A50" s="37" t="s">
        <v>1301</v>
      </c>
      <c r="B50" s="38" t="s">
        <v>1302</v>
      </c>
      <c r="C50" s="51"/>
      <c r="D50" s="51">
        <v>36.308354530986428</v>
      </c>
      <c r="E50" s="51">
        <v>35.691520412440234</v>
      </c>
      <c r="F50" s="51"/>
      <c r="G50" s="51">
        <v>2.4283333333333301</v>
      </c>
      <c r="H50" s="51">
        <v>2.3833334445953369</v>
      </c>
      <c r="I50" s="51"/>
      <c r="J50" s="51">
        <v>248.54530342030139</v>
      </c>
      <c r="K50" s="51">
        <v>216.28694836961583</v>
      </c>
      <c r="L50" s="16"/>
      <c r="M50" s="16"/>
      <c r="N50" s="16"/>
      <c r="O50" s="16"/>
    </row>
    <row r="53" spans="1:20" x14ac:dyDescent="0.25">
      <c r="A53" s="327" t="s">
        <v>1303</v>
      </c>
      <c r="B53" s="12"/>
      <c r="F53" s="16"/>
      <c r="G53" s="16"/>
      <c r="H53" s="16"/>
      <c r="I53" s="16"/>
      <c r="J53" s="16"/>
      <c r="K53" s="16"/>
      <c r="L53" s="16"/>
      <c r="M53" s="16"/>
      <c r="N53" s="16"/>
      <c r="O53" s="16"/>
    </row>
    <row r="54" spans="1:20" x14ac:dyDescent="0.25">
      <c r="A54" s="327" t="s">
        <v>1304</v>
      </c>
      <c r="B54" s="12"/>
      <c r="F54" s="16"/>
      <c r="G54" s="16"/>
      <c r="H54" s="16"/>
      <c r="I54" s="16"/>
      <c r="J54" s="16"/>
      <c r="K54" s="16"/>
      <c r="L54" s="16"/>
      <c r="M54" s="16"/>
      <c r="N54" s="16"/>
      <c r="O54" s="16"/>
    </row>
  </sheetData>
  <mergeCells count="9">
    <mergeCell ref="C15:E15"/>
    <mergeCell ref="F15:H15"/>
    <mergeCell ref="I15:K15"/>
    <mergeCell ref="C13:E13"/>
    <mergeCell ref="F13:H13"/>
    <mergeCell ref="I13:K13"/>
    <mergeCell ref="C14:E14"/>
    <mergeCell ref="F14:H14"/>
    <mergeCell ref="I14:K14"/>
  </mergeCells>
  <hyperlinks>
    <hyperlink ref="A5" location="Índice!A1" display="Índice/Contents" xr:uid="{01427810-1A52-40A6-95CD-C115B44A6155}"/>
  </hyperlinks>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EFE93-0E88-47B2-A8B3-46E10EFA121F}">
  <sheetPr codeName="Sheet38"/>
  <dimension ref="A5:L36"/>
  <sheetViews>
    <sheetView showGridLines="0" topLeftCell="A8" zoomScaleNormal="100" workbookViewId="0">
      <selection activeCell="I35" sqref="I35"/>
    </sheetView>
  </sheetViews>
  <sheetFormatPr defaultRowHeight="15" x14ac:dyDescent="0.25"/>
  <cols>
    <col min="1" max="1" width="61.140625" customWidth="1"/>
    <col min="2" max="2" width="40.42578125" customWidth="1"/>
  </cols>
  <sheetData>
    <row r="5" spans="1:12" ht="36" customHeight="1" x14ac:dyDescent="0.25">
      <c r="A5" s="49" t="s">
        <v>3</v>
      </c>
    </row>
    <row r="6" spans="1:12" ht="18.75" x14ac:dyDescent="0.25">
      <c r="A6" s="6" t="s">
        <v>179</v>
      </c>
    </row>
    <row r="7" spans="1:12" x14ac:dyDescent="0.25">
      <c r="A7" s="78" t="str">
        <f>+Índice!$A$25</f>
        <v>Caixa 1- Enquadramento e políticas/Box 1-External environment, financing conditions and policies</v>
      </c>
    </row>
    <row r="8" spans="1:12" ht="18.75" x14ac:dyDescent="0.25">
      <c r="A8" s="6"/>
    </row>
    <row r="9" spans="1:12" x14ac:dyDescent="0.25">
      <c r="A9" s="7"/>
    </row>
    <row r="10" spans="1:12" x14ac:dyDescent="0.25">
      <c r="A10" t="s">
        <v>1229</v>
      </c>
    </row>
    <row r="11" spans="1:12" x14ac:dyDescent="0.25">
      <c r="A11" s="8" t="s">
        <v>1576</v>
      </c>
    </row>
    <row r="13" spans="1:12" x14ac:dyDescent="0.25">
      <c r="A13" s="14"/>
      <c r="B13" s="14"/>
      <c r="C13" s="59" t="s">
        <v>94</v>
      </c>
      <c r="D13" s="74" t="s">
        <v>95</v>
      </c>
      <c r="E13" s="426" t="s">
        <v>1230</v>
      </c>
      <c r="F13" s="426"/>
      <c r="G13" s="426"/>
      <c r="H13" s="426">
        <v>0</v>
      </c>
      <c r="I13" s="427" t="s">
        <v>1231</v>
      </c>
      <c r="J13" s="428"/>
      <c r="K13" s="428"/>
      <c r="L13" s="428">
        <v>0</v>
      </c>
    </row>
    <row r="14" spans="1:12" x14ac:dyDescent="0.25">
      <c r="A14" s="14"/>
      <c r="B14" s="14"/>
      <c r="E14" s="429" t="s">
        <v>1232</v>
      </c>
      <c r="F14" s="429"/>
      <c r="G14" s="429"/>
      <c r="H14" s="429">
        <v>0</v>
      </c>
      <c r="I14" s="430" t="s">
        <v>1233</v>
      </c>
      <c r="J14" s="431"/>
      <c r="K14" s="431"/>
      <c r="L14" s="431">
        <v>0</v>
      </c>
    </row>
    <row r="15" spans="1:12" x14ac:dyDescent="0.25">
      <c r="A15" s="55"/>
      <c r="B15" s="55"/>
      <c r="C15" s="55"/>
      <c r="D15" s="55"/>
      <c r="E15" s="56">
        <v>2023</v>
      </c>
      <c r="F15" s="56">
        <v>2024</v>
      </c>
      <c r="G15" s="56">
        <v>2025</v>
      </c>
      <c r="H15" s="57">
        <v>2026</v>
      </c>
      <c r="I15" s="58">
        <v>2023</v>
      </c>
      <c r="J15" s="56">
        <v>2024</v>
      </c>
      <c r="K15" s="56">
        <v>2025</v>
      </c>
      <c r="L15" s="56">
        <v>2026</v>
      </c>
    </row>
    <row r="16" spans="1:12" x14ac:dyDescent="0.25">
      <c r="A16" s="14"/>
      <c r="B16" s="14"/>
      <c r="C16" s="14"/>
      <c r="D16" s="14"/>
      <c r="E16" s="59"/>
      <c r="F16" s="59"/>
      <c r="G16" s="59"/>
      <c r="H16" s="60"/>
      <c r="I16" s="61"/>
      <c r="J16" s="61"/>
      <c r="K16" s="61"/>
      <c r="L16" s="61"/>
    </row>
    <row r="17" spans="1:12" x14ac:dyDescent="0.25">
      <c r="A17" s="62" t="s">
        <v>96</v>
      </c>
      <c r="B17" s="62" t="s">
        <v>97</v>
      </c>
      <c r="C17" s="14"/>
      <c r="D17" s="14"/>
      <c r="E17" s="59"/>
      <c r="F17" s="59"/>
      <c r="G17" s="59"/>
      <c r="H17" s="60"/>
      <c r="I17" s="59"/>
      <c r="J17" s="59"/>
      <c r="K17" s="59"/>
      <c r="L17" s="59"/>
    </row>
    <row r="18" spans="1:12" x14ac:dyDescent="0.25">
      <c r="A18" s="63" t="s">
        <v>98</v>
      </c>
      <c r="B18" s="63" t="s">
        <v>99</v>
      </c>
      <c r="C18" s="59" t="s">
        <v>100</v>
      </c>
      <c r="D18" s="74" t="s">
        <v>101</v>
      </c>
      <c r="E18" s="64">
        <v>3.1256536908450556</v>
      </c>
      <c r="F18" s="64">
        <v>3.0287716718855933</v>
      </c>
      <c r="G18" s="64">
        <v>3.0497791371879401</v>
      </c>
      <c r="H18" s="65">
        <v>3.0264887077966875</v>
      </c>
      <c r="I18" s="64">
        <v>1.2372409264457929E-2</v>
      </c>
      <c r="J18" s="64">
        <v>-1.8379021897345638E-3</v>
      </c>
      <c r="K18" s="64">
        <v>1.1736794288097485E-2</v>
      </c>
      <c r="L18" s="64">
        <v>-1.0797210077285513E-2</v>
      </c>
    </row>
    <row r="19" spans="1:12" x14ac:dyDescent="0.25">
      <c r="A19" s="63" t="s">
        <v>102</v>
      </c>
      <c r="B19" s="63" t="s">
        <v>103</v>
      </c>
      <c r="C19" s="59" t="s">
        <v>100</v>
      </c>
      <c r="D19" s="74" t="s">
        <v>101</v>
      </c>
      <c r="E19" s="64">
        <v>0.6</v>
      </c>
      <c r="F19" s="66">
        <v>0.9</v>
      </c>
      <c r="G19" s="66">
        <v>1.4</v>
      </c>
      <c r="H19" s="65">
        <v>1.6</v>
      </c>
      <c r="I19" s="64">
        <v>9.9999999999999978E-2</v>
      </c>
      <c r="J19" s="64">
        <v>0.3</v>
      </c>
      <c r="K19" s="64">
        <v>-0.10000000000000009</v>
      </c>
      <c r="L19" s="64">
        <v>0</v>
      </c>
    </row>
    <row r="20" spans="1:12" x14ac:dyDescent="0.25">
      <c r="A20" s="63" t="s">
        <v>104</v>
      </c>
      <c r="B20" s="63" t="s">
        <v>105</v>
      </c>
      <c r="C20" s="59" t="s">
        <v>100</v>
      </c>
      <c r="D20" s="74" t="s">
        <v>101</v>
      </c>
      <c r="E20" s="64">
        <v>0.42176308174039434</v>
      </c>
      <c r="F20" s="66">
        <v>2.1087043311745646</v>
      </c>
      <c r="G20" s="66">
        <v>3.260298709667083</v>
      </c>
      <c r="H20" s="67">
        <v>3.2444833720774398</v>
      </c>
      <c r="I20" s="64">
        <v>-0.13572421026704262</v>
      </c>
      <c r="J20" s="64">
        <v>-0.2171852039429325</v>
      </c>
      <c r="K20" s="64">
        <v>0.12956244171199671</v>
      </c>
      <c r="L20" s="64">
        <v>1.1620999491881889E-2</v>
      </c>
    </row>
    <row r="21" spans="1:12" x14ac:dyDescent="0.25">
      <c r="A21" s="63" t="s">
        <v>106</v>
      </c>
      <c r="B21" s="63" t="s">
        <v>107</v>
      </c>
      <c r="C21" s="59" t="s">
        <v>100</v>
      </c>
      <c r="D21" s="74" t="s">
        <v>101</v>
      </c>
      <c r="E21" s="64">
        <v>-0.50294916849681215</v>
      </c>
      <c r="F21" s="66">
        <v>1.145691667262966</v>
      </c>
      <c r="G21" s="66">
        <v>3.1877117096785241</v>
      </c>
      <c r="H21" s="67">
        <v>3.2420058399506217</v>
      </c>
      <c r="I21" s="64">
        <v>-4.1222017578292025E-2</v>
      </c>
      <c r="J21" s="64">
        <v>-0.36993393219518111</v>
      </c>
      <c r="K21" s="64">
        <v>0.10085886658644938</v>
      </c>
      <c r="L21" s="64">
        <v>8.8708075587803137E-2</v>
      </c>
    </row>
    <row r="22" spans="1:12" x14ac:dyDescent="0.25">
      <c r="A22" s="14"/>
      <c r="B22" s="14"/>
      <c r="C22" s="14"/>
      <c r="D22" s="77"/>
      <c r="E22" s="59"/>
      <c r="F22" s="59"/>
      <c r="G22" s="59"/>
      <c r="H22" s="60"/>
      <c r="I22" s="64"/>
      <c r="J22" s="64"/>
      <c r="K22" s="64"/>
      <c r="L22" s="64"/>
    </row>
    <row r="23" spans="1:12" x14ac:dyDescent="0.25">
      <c r="A23" s="62" t="s">
        <v>108</v>
      </c>
      <c r="B23" s="62" t="s">
        <v>109</v>
      </c>
      <c r="C23" s="14"/>
      <c r="D23" s="77"/>
      <c r="E23" s="59"/>
      <c r="F23" s="59"/>
      <c r="G23" s="59"/>
      <c r="H23" s="60"/>
      <c r="I23" s="64"/>
      <c r="J23" s="64"/>
      <c r="K23" s="64"/>
      <c r="L23" s="64"/>
    </row>
    <row r="24" spans="1:12" x14ac:dyDescent="0.25">
      <c r="A24" s="63" t="s">
        <v>110</v>
      </c>
      <c r="B24" s="63" t="s">
        <v>111</v>
      </c>
      <c r="C24" s="59" t="s">
        <v>112</v>
      </c>
      <c r="D24" s="74" t="s">
        <v>113</v>
      </c>
      <c r="E24" s="64">
        <v>77.451136425678285</v>
      </c>
      <c r="F24" s="64">
        <v>77.655041772379619</v>
      </c>
      <c r="G24" s="64">
        <v>72.43214039128992</v>
      </c>
      <c r="H24" s="65">
        <v>69.159677134709838</v>
      </c>
      <c r="I24" s="64">
        <v>-1.358345969038055E-8</v>
      </c>
      <c r="J24" s="64">
        <v>3.9057143422019465</v>
      </c>
      <c r="K24" s="64">
        <v>3.0998379412442461</v>
      </c>
      <c r="L24" s="64">
        <v>2.3192418180061765</v>
      </c>
    </row>
    <row r="25" spans="1:12" x14ac:dyDescent="0.25">
      <c r="A25" s="63" t="s">
        <v>114</v>
      </c>
      <c r="B25" s="63" t="s">
        <v>115</v>
      </c>
      <c r="C25" s="59" t="s">
        <v>112</v>
      </c>
      <c r="D25" s="74" t="s">
        <v>113</v>
      </c>
      <c r="E25" s="64">
        <v>40.613095098858217</v>
      </c>
      <c r="F25" s="64">
        <v>30.819705682078975</v>
      </c>
      <c r="G25" s="64">
        <v>35.412649999999985</v>
      </c>
      <c r="H25" s="65">
        <v>29.938649999999992</v>
      </c>
      <c r="I25" s="64">
        <v>0</v>
      </c>
      <c r="J25" s="64">
        <v>0.83352532469628215</v>
      </c>
      <c r="K25" s="64">
        <v>3.3257749999999859</v>
      </c>
      <c r="L25" s="64">
        <v>0.39695833333333397</v>
      </c>
    </row>
    <row r="26" spans="1:12" x14ac:dyDescent="0.25">
      <c r="A26" s="63" t="s">
        <v>116</v>
      </c>
      <c r="B26" s="63" t="s">
        <v>117</v>
      </c>
      <c r="C26" s="59" t="s">
        <v>100</v>
      </c>
      <c r="D26" s="74" t="s">
        <v>101</v>
      </c>
      <c r="E26" s="64">
        <v>-14.529652465428484</v>
      </c>
      <c r="F26" s="64">
        <v>11.693507966499709</v>
      </c>
      <c r="G26" s="64">
        <v>4.0838507747105837</v>
      </c>
      <c r="H26" s="65">
        <v>0.88788605406055865</v>
      </c>
      <c r="I26" s="64">
        <v>2.3293693985237951E-5</v>
      </c>
      <c r="J26" s="64">
        <v>11.072041689122202</v>
      </c>
      <c r="K26" s="64">
        <v>1.9859244141338763</v>
      </c>
      <c r="L26" s="64">
        <v>0.81822330167724999</v>
      </c>
    </row>
    <row r="27" spans="1:12" x14ac:dyDescent="0.25">
      <c r="A27" s="63" t="s">
        <v>118</v>
      </c>
      <c r="B27" s="63" t="s">
        <v>119</v>
      </c>
      <c r="C27" s="59" t="s">
        <v>100</v>
      </c>
      <c r="D27" s="74" t="s">
        <v>101</v>
      </c>
      <c r="E27" s="64">
        <v>-1.5580302564184905</v>
      </c>
      <c r="F27" s="64">
        <v>0.81989545877394221</v>
      </c>
      <c r="G27" s="64">
        <v>2.6404624102900414</v>
      </c>
      <c r="H27" s="65">
        <v>2.345747963759365</v>
      </c>
      <c r="I27" s="64">
        <v>-0.23227638789835225</v>
      </c>
      <c r="J27" s="64">
        <v>-0.18616240746511892</v>
      </c>
      <c r="K27" s="64">
        <v>-2.9001822770737817E-3</v>
      </c>
      <c r="L27" s="64">
        <v>-6.9877413599215288E-2</v>
      </c>
    </row>
    <row r="28" spans="1:12" x14ac:dyDescent="0.25">
      <c r="A28" s="14"/>
      <c r="B28" s="14"/>
      <c r="C28" s="59"/>
      <c r="D28" s="74"/>
      <c r="E28" s="59"/>
      <c r="F28" s="59"/>
      <c r="G28" s="59"/>
      <c r="H28" s="60"/>
      <c r="I28" s="64"/>
      <c r="J28" s="64"/>
      <c r="K28" s="64"/>
      <c r="L28" s="64"/>
    </row>
    <row r="29" spans="1:12" x14ac:dyDescent="0.25">
      <c r="A29" s="62" t="s">
        <v>120</v>
      </c>
      <c r="B29" s="62" t="s">
        <v>121</v>
      </c>
      <c r="C29" s="59"/>
      <c r="D29" s="74"/>
      <c r="E29" s="59"/>
      <c r="F29" s="59"/>
      <c r="G29" s="59"/>
      <c r="H29" s="60"/>
      <c r="I29" s="64"/>
      <c r="J29" s="64"/>
      <c r="K29" s="64"/>
      <c r="L29" s="64"/>
    </row>
    <row r="30" spans="1:12" x14ac:dyDescent="0.25">
      <c r="A30" s="63" t="s">
        <v>122</v>
      </c>
      <c r="B30" s="63" t="s">
        <v>123</v>
      </c>
      <c r="C30" s="59" t="s">
        <v>4</v>
      </c>
      <c r="D30" s="74" t="s">
        <v>4</v>
      </c>
      <c r="E30" s="64">
        <v>3.4307380607315401</v>
      </c>
      <c r="F30" s="64">
        <v>3.6381987609009352</v>
      </c>
      <c r="G30" s="64">
        <v>2.8283333333333323</v>
      </c>
      <c r="H30" s="65">
        <v>2.4804166666666676</v>
      </c>
      <c r="I30" s="64">
        <v>-6.2496404995560084E-5</v>
      </c>
      <c r="J30" s="64">
        <v>0.21030142680211927</v>
      </c>
      <c r="K30" s="64">
        <v>0.38250006755192967</v>
      </c>
      <c r="L30" s="64">
        <v>0.1275000087420155</v>
      </c>
    </row>
    <row r="31" spans="1:12" x14ac:dyDescent="0.25">
      <c r="A31" s="63" t="s">
        <v>124</v>
      </c>
      <c r="B31" s="63" t="s">
        <v>125</v>
      </c>
      <c r="C31" s="59" t="s">
        <v>4</v>
      </c>
      <c r="D31" s="74" t="s">
        <v>4</v>
      </c>
      <c r="E31" s="64">
        <v>2.1480831249999999</v>
      </c>
      <c r="F31" s="64">
        <v>2.4484075074999998</v>
      </c>
      <c r="G31" s="64">
        <v>2.5102047824999998</v>
      </c>
      <c r="H31" s="65">
        <v>2.5600956700000004</v>
      </c>
      <c r="I31" s="64">
        <v>3.1099204999999852E-2</v>
      </c>
      <c r="J31" s="64">
        <v>0.11306571749999961</v>
      </c>
      <c r="K31" s="64">
        <v>0.15573786999999983</v>
      </c>
      <c r="L31" s="64">
        <v>0.15847761250000048</v>
      </c>
    </row>
    <row r="32" spans="1:12" x14ac:dyDescent="0.25">
      <c r="A32" s="63" t="s">
        <v>126</v>
      </c>
      <c r="B32" s="63" t="s">
        <v>127</v>
      </c>
      <c r="C32" s="59" t="s">
        <v>100</v>
      </c>
      <c r="D32" s="74" t="s">
        <v>101</v>
      </c>
      <c r="E32" s="64">
        <v>4.8827668662701456</v>
      </c>
      <c r="F32" s="64">
        <v>1.8102117343806583</v>
      </c>
      <c r="G32" s="64">
        <v>0.10293138922814649</v>
      </c>
      <c r="H32" s="65">
        <v>0</v>
      </c>
      <c r="I32" s="64">
        <v>2.1411594275377865E-8</v>
      </c>
      <c r="J32" s="64">
        <v>0.74442455300217603</v>
      </c>
      <c r="K32" s="64">
        <v>0.13682444478813238</v>
      </c>
      <c r="L32" s="64">
        <v>0</v>
      </c>
    </row>
    <row r="33" spans="1:12" x14ac:dyDescent="0.25">
      <c r="A33" s="63" t="s">
        <v>128</v>
      </c>
      <c r="B33" s="63" t="s">
        <v>129</v>
      </c>
      <c r="C33" s="59" t="s">
        <v>112</v>
      </c>
      <c r="D33" s="74" t="s">
        <v>113</v>
      </c>
      <c r="E33" s="68">
        <v>1.0813067057499999</v>
      </c>
      <c r="F33" s="68">
        <v>1.0785848412500001</v>
      </c>
      <c r="G33" s="68">
        <v>1.0766100000000001</v>
      </c>
      <c r="H33" s="69">
        <v>1.0766100000000001</v>
      </c>
      <c r="I33" s="66">
        <v>1.8853985039868348E-10</v>
      </c>
      <c r="J33" s="66">
        <v>-2.2587524999972963E-3</v>
      </c>
      <c r="K33" s="66">
        <v>-3.3699999999949881E-3</v>
      </c>
      <c r="L33" s="66">
        <v>-3.3699999999949881E-3</v>
      </c>
    </row>
    <row r="34" spans="1:12" x14ac:dyDescent="0.25">
      <c r="A34" s="70"/>
      <c r="B34" s="70"/>
      <c r="C34" s="70"/>
      <c r="D34" s="70"/>
      <c r="E34" s="71"/>
      <c r="F34" s="71"/>
      <c r="G34" s="71"/>
      <c r="H34" s="72"/>
      <c r="I34" s="71"/>
      <c r="J34" s="71"/>
      <c r="K34" s="71"/>
      <c r="L34" s="73"/>
    </row>
    <row r="35" spans="1:12" x14ac:dyDescent="0.25">
      <c r="A35" s="75" t="s">
        <v>1234</v>
      </c>
      <c r="B35" s="75"/>
      <c r="C35" s="75"/>
      <c r="D35" s="75"/>
      <c r="E35" s="75"/>
      <c r="F35" s="75"/>
      <c r="G35" s="75"/>
      <c r="H35" s="75"/>
      <c r="I35" s="75"/>
      <c r="J35" s="75"/>
      <c r="K35" s="75"/>
      <c r="L35" s="75"/>
    </row>
    <row r="36" spans="1:12" x14ac:dyDescent="0.25">
      <c r="A36" s="324" t="s">
        <v>1306</v>
      </c>
      <c r="B36" s="324"/>
      <c r="C36" s="324"/>
      <c r="D36" s="324"/>
      <c r="E36" s="324"/>
      <c r="F36" s="324"/>
      <c r="G36" s="324"/>
      <c r="H36" s="324"/>
      <c r="I36" s="324"/>
      <c r="J36" s="324"/>
      <c r="K36" s="324"/>
      <c r="L36" s="324"/>
    </row>
  </sheetData>
  <mergeCells count="4">
    <mergeCell ref="E13:H13"/>
    <mergeCell ref="I13:L13"/>
    <mergeCell ref="E14:H14"/>
    <mergeCell ref="I14:L14"/>
  </mergeCells>
  <hyperlinks>
    <hyperlink ref="A5" location="Índice!A1" display="Índice/Contents" xr:uid="{E96584E5-26FA-4939-9AE7-2CA001324AA1}"/>
  </hyperlink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08DA-78EF-42AC-BC6D-790A022396C5}">
  <sheetPr codeName="Sheet8"/>
  <dimension ref="A5:M23"/>
  <sheetViews>
    <sheetView showGridLines="0" zoomScaleNormal="100" workbookViewId="0">
      <selection activeCell="B23" sqref="B23"/>
    </sheetView>
  </sheetViews>
  <sheetFormatPr defaultRowHeight="15" x14ac:dyDescent="0.25"/>
  <cols>
    <col min="1" max="1" width="18" customWidth="1"/>
    <col min="2" max="2" width="25.42578125" customWidth="1"/>
    <col min="3" max="3" width="22.5703125" bestFit="1" customWidth="1"/>
    <col min="4" max="4" width="32.42578125" customWidth="1"/>
    <col min="5" max="6" width="5.5703125" bestFit="1" customWidth="1"/>
    <col min="7" max="7" width="5" bestFit="1" customWidth="1"/>
    <col min="8" max="12" width="5.5703125" bestFit="1" customWidth="1"/>
    <col min="13" max="13" width="5.42578125" customWidth="1"/>
  </cols>
  <sheetData>
    <row r="5" spans="1:13" x14ac:dyDescent="0.25">
      <c r="A5" s="10" t="s">
        <v>3</v>
      </c>
      <c r="B5" s="10"/>
    </row>
    <row r="6" spans="1:13" ht="18.75" x14ac:dyDescent="0.25">
      <c r="A6" s="6" t="s">
        <v>179</v>
      </c>
      <c r="B6" s="6"/>
    </row>
    <row r="7" spans="1:13" ht="18.75" x14ac:dyDescent="0.25">
      <c r="A7" s="78" t="str">
        <f>+Índice!A31</f>
        <v>Caixa 2-Termos de troca no comércio de bens /Box 2-Terms of trade in goods</v>
      </c>
      <c r="B7" s="6"/>
    </row>
    <row r="8" spans="1:13" ht="18.75" x14ac:dyDescent="0.25">
      <c r="A8" s="6"/>
      <c r="B8" s="6"/>
    </row>
    <row r="9" spans="1:13" x14ac:dyDescent="0.25">
      <c r="A9" s="7"/>
      <c r="B9" s="7"/>
    </row>
    <row r="10" spans="1:13" x14ac:dyDescent="0.25">
      <c r="A10" t="s">
        <v>918</v>
      </c>
    </row>
    <row r="11" spans="1:13" x14ac:dyDescent="0.25">
      <c r="A11" s="8" t="s">
        <v>919</v>
      </c>
    </row>
    <row r="13" spans="1:13" x14ac:dyDescent="0.25">
      <c r="A13" s="48"/>
      <c r="D13" s="48" t="s">
        <v>2</v>
      </c>
    </row>
    <row r="14" spans="1:13" x14ac:dyDescent="0.25">
      <c r="E14">
        <v>2015</v>
      </c>
      <c r="F14">
        <f t="shared" ref="F14:I14" si="0">+E14+1</f>
        <v>2016</v>
      </c>
      <c r="G14">
        <f t="shared" si="0"/>
        <v>2017</v>
      </c>
      <c r="H14">
        <f t="shared" si="0"/>
        <v>2018</v>
      </c>
      <c r="I14">
        <f t="shared" si="0"/>
        <v>2019</v>
      </c>
      <c r="J14">
        <f>+I14+1</f>
        <v>2020</v>
      </c>
      <c r="K14">
        <f t="shared" ref="K14:M14" si="1">+J14+1</f>
        <v>2021</v>
      </c>
      <c r="L14">
        <f t="shared" si="1"/>
        <v>2022</v>
      </c>
      <c r="M14">
        <f t="shared" si="1"/>
        <v>2023</v>
      </c>
    </row>
    <row r="15" spans="1:13" x14ac:dyDescent="0.25">
      <c r="L15" s="47"/>
    </row>
    <row r="16" spans="1:13" x14ac:dyDescent="0.25">
      <c r="B16" t="s">
        <v>880</v>
      </c>
      <c r="C16" s="8" t="s">
        <v>882</v>
      </c>
      <c r="D16" s="137" t="s">
        <v>1215</v>
      </c>
      <c r="E16" s="16">
        <v>100</v>
      </c>
      <c r="F16" s="16">
        <v>100.54057934248927</v>
      </c>
      <c r="G16" s="16">
        <v>99.745200083446505</v>
      </c>
      <c r="H16" s="16">
        <v>99.345425177935184</v>
      </c>
      <c r="I16" s="16">
        <v>99.802378727916917</v>
      </c>
      <c r="J16" s="16">
        <v>101.64846968087991</v>
      </c>
      <c r="K16" s="16">
        <v>100.34897638735507</v>
      </c>
      <c r="L16" s="16">
        <v>95.022477176763189</v>
      </c>
      <c r="M16">
        <v>97.28470420010548</v>
      </c>
    </row>
    <row r="17" spans="2:13" x14ac:dyDescent="0.25">
      <c r="B17" t="s">
        <v>881</v>
      </c>
      <c r="C17" s="8" t="s">
        <v>883</v>
      </c>
      <c r="D17" s="137" t="s">
        <v>1215</v>
      </c>
      <c r="E17" s="16">
        <v>100</v>
      </c>
      <c r="F17" s="16">
        <v>99.940043319168751</v>
      </c>
      <c r="G17" s="16">
        <v>99.800486931783254</v>
      </c>
      <c r="H17" s="16">
        <v>100.53174893479762</v>
      </c>
      <c r="I17" s="16">
        <v>100.86826201807048</v>
      </c>
      <c r="J17" s="16">
        <v>101.48859866685582</v>
      </c>
      <c r="K17" s="16">
        <v>102.69789058312779</v>
      </c>
      <c r="L17" s="16">
        <v>101.94459149946682</v>
      </c>
      <c r="M17">
        <v>102.32360946174987</v>
      </c>
    </row>
    <row r="19" spans="2:13" x14ac:dyDescent="0.25">
      <c r="B19" t="s">
        <v>884</v>
      </c>
    </row>
    <row r="20" spans="2:13" x14ac:dyDescent="0.25">
      <c r="B20" t="s">
        <v>1595</v>
      </c>
    </row>
    <row r="22" spans="2:13" x14ac:dyDescent="0.25">
      <c r="B22" s="8" t="s">
        <v>886</v>
      </c>
    </row>
    <row r="23" spans="2:13" x14ac:dyDescent="0.25">
      <c r="B23" s="8" t="s">
        <v>1575</v>
      </c>
    </row>
  </sheetData>
  <hyperlinks>
    <hyperlink ref="A5" location="Índice!A1" display="Índice/Contents" xr:uid="{C5916428-EC71-4A78-AB09-7CC8D954FC7D}"/>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2F16-87EA-46F6-8FC1-7608D1C75427}">
  <sheetPr codeName="Sheet9"/>
  <dimension ref="A5:L23"/>
  <sheetViews>
    <sheetView showGridLines="0" zoomScaleNormal="100" workbookViewId="0">
      <selection activeCell="K15" sqref="K15"/>
    </sheetView>
  </sheetViews>
  <sheetFormatPr defaultRowHeight="15" x14ac:dyDescent="0.25"/>
  <cols>
    <col min="1" max="1" width="18" customWidth="1"/>
    <col min="2" max="2" width="38.42578125" customWidth="1"/>
    <col min="3" max="3" width="30.42578125" bestFit="1" customWidth="1"/>
    <col min="4" max="4" width="14.5703125" customWidth="1"/>
    <col min="5" max="5" width="5.5703125" bestFit="1" customWidth="1"/>
    <col min="6" max="6" width="5" bestFit="1" customWidth="1"/>
    <col min="7" max="11" width="5.5703125" bestFit="1" customWidth="1"/>
    <col min="12" max="12" width="5.42578125" customWidth="1"/>
  </cols>
  <sheetData>
    <row r="5" spans="1:12" x14ac:dyDescent="0.25">
      <c r="A5" s="10" t="s">
        <v>3</v>
      </c>
      <c r="B5" s="10"/>
    </row>
    <row r="6" spans="1:12" ht="18.75" x14ac:dyDescent="0.25">
      <c r="A6" s="6" t="s">
        <v>179</v>
      </c>
      <c r="B6" s="6"/>
    </row>
    <row r="7" spans="1:12" ht="18.75" x14ac:dyDescent="0.25">
      <c r="A7" s="78" t="str">
        <f>+Índice!A31</f>
        <v>Caixa 2-Termos de troca no comércio de bens /Box 2-Terms of trade in goods</v>
      </c>
      <c r="B7" s="6"/>
    </row>
    <row r="8" spans="1:12" ht="18.75" x14ac:dyDescent="0.25">
      <c r="A8" s="6"/>
      <c r="B8" s="6"/>
    </row>
    <row r="9" spans="1:12" x14ac:dyDescent="0.25">
      <c r="A9" s="7"/>
      <c r="B9" s="7"/>
    </row>
    <row r="10" spans="1:12" x14ac:dyDescent="0.25">
      <c r="A10" t="s">
        <v>920</v>
      </c>
    </row>
    <row r="11" spans="1:12" x14ac:dyDescent="0.25">
      <c r="A11" s="8" t="s">
        <v>1213</v>
      </c>
    </row>
    <row r="13" spans="1:12" x14ac:dyDescent="0.25">
      <c r="D13" s="48" t="s">
        <v>2</v>
      </c>
      <c r="E13">
        <v>2016</v>
      </c>
      <c r="F13">
        <v>2017</v>
      </c>
      <c r="G13">
        <v>2018</v>
      </c>
      <c r="H13">
        <v>2019</v>
      </c>
      <c r="I13">
        <v>2020</v>
      </c>
      <c r="J13">
        <v>2021</v>
      </c>
      <c r="K13">
        <v>2022</v>
      </c>
      <c r="L13">
        <v>2023</v>
      </c>
    </row>
    <row r="14" spans="1:12" x14ac:dyDescent="0.25">
      <c r="K14" s="47"/>
    </row>
    <row r="15" spans="1:12" x14ac:dyDescent="0.25">
      <c r="B15" t="s">
        <v>888</v>
      </c>
      <c r="C15" s="8" t="s">
        <v>889</v>
      </c>
      <c r="D15" s="137" t="s">
        <v>730</v>
      </c>
      <c r="E15" s="16">
        <v>0.54057934248926642</v>
      </c>
      <c r="F15" s="16">
        <v>-0.79537925904276108</v>
      </c>
      <c r="G15" s="16">
        <v>-0.39977490551132178</v>
      </c>
      <c r="H15" s="16">
        <v>0.45695354998173343</v>
      </c>
      <c r="I15" s="16">
        <v>1.8460909529629959</v>
      </c>
      <c r="J15" s="16">
        <v>-1.2994932935248471</v>
      </c>
      <c r="K15" s="16">
        <v>-5.3264992105918765</v>
      </c>
      <c r="L15" s="16">
        <v>2.262227023342291</v>
      </c>
    </row>
    <row r="16" spans="1:12" x14ac:dyDescent="0.25">
      <c r="B16" t="s">
        <v>682</v>
      </c>
      <c r="C16" s="8" t="s">
        <v>703</v>
      </c>
      <c r="D16" s="137" t="s">
        <v>730</v>
      </c>
      <c r="E16" s="16">
        <v>0.67268874982015392</v>
      </c>
      <c r="F16" s="16">
        <v>-0.76362484254222085</v>
      </c>
      <c r="G16" s="16">
        <v>-1.1054527206616498</v>
      </c>
      <c r="H16" s="16">
        <v>0.14473524681111927</v>
      </c>
      <c r="I16" s="16">
        <v>1.3442266106938214</v>
      </c>
      <c r="J16" s="16">
        <v>-2.6344754744354835</v>
      </c>
      <c r="K16" s="16">
        <v>-5.3602213731776995</v>
      </c>
      <c r="L16" s="16">
        <v>1.8327707988557123</v>
      </c>
    </row>
    <row r="17" spans="2:12" x14ac:dyDescent="0.25">
      <c r="B17" t="s">
        <v>887</v>
      </c>
      <c r="C17" s="8" t="s">
        <v>860</v>
      </c>
      <c r="D17" s="137" t="s">
        <v>730</v>
      </c>
      <c r="E17" s="16">
        <v>-0.13210940733089416</v>
      </c>
      <c r="F17" s="16">
        <v>-3.1754416500523477E-2</v>
      </c>
      <c r="G17" s="16">
        <v>0.70567781515032313</v>
      </c>
      <c r="H17" s="16">
        <v>0.31221830317061239</v>
      </c>
      <c r="I17" s="16">
        <v>0.50186434226914645</v>
      </c>
      <c r="J17" s="16">
        <v>1.3349821809106488</v>
      </c>
      <c r="K17" s="16">
        <v>3.3722162585812843E-2</v>
      </c>
      <c r="L17" s="16">
        <v>0.42945622448657605</v>
      </c>
    </row>
    <row r="19" spans="2:12" x14ac:dyDescent="0.25">
      <c r="B19" t="s">
        <v>884</v>
      </c>
    </row>
    <row r="20" spans="2:12" x14ac:dyDescent="0.25">
      <c r="B20" t="s">
        <v>1595</v>
      </c>
    </row>
    <row r="22" spans="2:12" x14ac:dyDescent="0.25">
      <c r="B22" s="8" t="s">
        <v>886</v>
      </c>
    </row>
    <row r="23" spans="2:12" x14ac:dyDescent="0.25">
      <c r="B23" s="8" t="s">
        <v>1604</v>
      </c>
    </row>
  </sheetData>
  <hyperlinks>
    <hyperlink ref="A5" location="Índice!A1" display="Índice/Contents" xr:uid="{323DA685-8F8E-4644-A410-0E3F0A9ED37E}"/>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DD42C-4C75-4DEB-9B97-A7EFEF265770}">
  <sheetPr codeName="Sheet10"/>
  <dimension ref="A5:O32"/>
  <sheetViews>
    <sheetView showGridLines="0" topLeftCell="A12" zoomScaleNormal="100" workbookViewId="0">
      <selection activeCell="B32" sqref="B32:M32"/>
    </sheetView>
  </sheetViews>
  <sheetFormatPr defaultRowHeight="15" x14ac:dyDescent="0.25"/>
  <cols>
    <col min="1" max="1" width="18" customWidth="1"/>
    <col min="2" max="2" width="18.85546875" customWidth="1"/>
    <col min="3" max="3" width="15.5703125" customWidth="1"/>
    <col min="4" max="4" width="32.5703125" bestFit="1" customWidth="1"/>
    <col min="5" max="5" width="36" bestFit="1" customWidth="1"/>
    <col min="6" max="6" width="11.5703125" bestFit="1" customWidth="1"/>
    <col min="7" max="11" width="5.5703125" bestFit="1" customWidth="1"/>
    <col min="12" max="12" width="5.42578125" customWidth="1"/>
    <col min="13" max="13" width="5.42578125" bestFit="1" customWidth="1"/>
  </cols>
  <sheetData>
    <row r="5" spans="1:15" x14ac:dyDescent="0.25">
      <c r="A5" s="10" t="s">
        <v>3</v>
      </c>
      <c r="B5" s="10"/>
    </row>
    <row r="6" spans="1:15" ht="18.75" x14ac:dyDescent="0.25">
      <c r="A6" s="6" t="s">
        <v>179</v>
      </c>
      <c r="B6" s="6"/>
    </row>
    <row r="7" spans="1:15" ht="18.75" x14ac:dyDescent="0.25">
      <c r="A7" s="78" t="str">
        <f>+Índice!A31</f>
        <v>Caixa 2-Termos de troca no comércio de bens /Box 2-Terms of trade in goods</v>
      </c>
      <c r="B7" s="6"/>
    </row>
    <row r="8" spans="1:15" ht="18.75" x14ac:dyDescent="0.25">
      <c r="A8" s="6"/>
      <c r="B8" s="6"/>
    </row>
    <row r="9" spans="1:15" x14ac:dyDescent="0.25">
      <c r="A9" s="7"/>
      <c r="B9" s="7"/>
    </row>
    <row r="10" spans="1:15" x14ac:dyDescent="0.25">
      <c r="A10" t="s">
        <v>921</v>
      </c>
    </row>
    <row r="11" spans="1:15" x14ac:dyDescent="0.25">
      <c r="A11" s="8" t="s">
        <v>1214</v>
      </c>
    </row>
    <row r="13" spans="1:15" x14ac:dyDescent="0.25">
      <c r="F13" s="48" t="s">
        <v>2</v>
      </c>
      <c r="H13">
        <v>2016</v>
      </c>
      <c r="I13">
        <v>2017</v>
      </c>
      <c r="J13">
        <v>2018</v>
      </c>
      <c r="K13">
        <v>2019</v>
      </c>
      <c r="L13">
        <v>2020</v>
      </c>
      <c r="M13">
        <v>2021</v>
      </c>
      <c r="N13">
        <v>2022</v>
      </c>
      <c r="O13">
        <v>2023</v>
      </c>
    </row>
    <row r="14" spans="1:15" x14ac:dyDescent="0.25">
      <c r="N14" s="47"/>
    </row>
    <row r="15" spans="1:15" x14ac:dyDescent="0.25">
      <c r="B15" s="433" t="s">
        <v>890</v>
      </c>
      <c r="C15" s="433" t="s">
        <v>1605</v>
      </c>
      <c r="D15" t="s">
        <v>893</v>
      </c>
      <c r="E15" s="8" t="s">
        <v>896</v>
      </c>
      <c r="F15" s="48" t="s">
        <v>4</v>
      </c>
      <c r="H15" s="16">
        <v>0.54057934248926642</v>
      </c>
      <c r="I15" s="16">
        <v>-0.79537925904276108</v>
      </c>
      <c r="J15" s="16">
        <v>-0.39977490551132178</v>
      </c>
      <c r="K15" s="16">
        <v>0.45695354998173343</v>
      </c>
      <c r="L15" s="16">
        <v>1.8460909529629959</v>
      </c>
      <c r="M15" s="16">
        <v>-1.2994932935248471</v>
      </c>
      <c r="N15" s="16">
        <v>-5.3264992105918765</v>
      </c>
      <c r="O15" s="16">
        <v>2.262227023342291</v>
      </c>
    </row>
    <row r="16" spans="1:15" x14ac:dyDescent="0.25">
      <c r="B16" s="433"/>
      <c r="C16" s="433"/>
      <c r="D16" t="s">
        <v>891</v>
      </c>
      <c r="E16" s="8" t="s">
        <v>871</v>
      </c>
      <c r="F16" s="48" t="s">
        <v>730</v>
      </c>
      <c r="H16" s="16">
        <v>0.70533731302771518</v>
      </c>
      <c r="I16" s="16">
        <v>-0.89356043722167555</v>
      </c>
      <c r="J16" s="16">
        <v>-0.59510515515272855</v>
      </c>
      <c r="K16" s="16">
        <v>0.17140695796704022</v>
      </c>
      <c r="L16" s="16">
        <v>1.1820210119049619</v>
      </c>
      <c r="M16" s="16">
        <v>-2.3437471807088794</v>
      </c>
      <c r="N16" s="16">
        <v>-3.6745579294489348</v>
      </c>
      <c r="O16" s="16">
        <v>1.9447286687991954</v>
      </c>
    </row>
    <row r="17" spans="2:15" x14ac:dyDescent="0.25">
      <c r="B17" s="433"/>
      <c r="C17" s="433"/>
      <c r="D17" t="s">
        <v>892</v>
      </c>
      <c r="E17" s="8" t="s">
        <v>872</v>
      </c>
      <c r="F17" s="48" t="s">
        <v>730</v>
      </c>
      <c r="H17" s="16">
        <v>-0.16475797053844596</v>
      </c>
      <c r="I17" s="16">
        <v>9.8181178178947393E-2</v>
      </c>
      <c r="J17" s="16">
        <v>0.19533024964137674</v>
      </c>
      <c r="K17" s="16">
        <v>0.2855465920147135</v>
      </c>
      <c r="L17" s="16">
        <v>0.66406994105801731</v>
      </c>
      <c r="M17" s="16">
        <v>1.0442538871839981</v>
      </c>
      <c r="N17" s="16">
        <v>-1.6519412811429341</v>
      </c>
      <c r="O17" s="16">
        <v>0.31749835454310332</v>
      </c>
    </row>
    <row r="18" spans="2:15" x14ac:dyDescent="0.25">
      <c r="F18" s="48"/>
    </row>
    <row r="19" spans="2:15" x14ac:dyDescent="0.25">
      <c r="B19" s="433" t="s">
        <v>894</v>
      </c>
      <c r="C19" s="433" t="s">
        <v>895</v>
      </c>
      <c r="D19" t="s">
        <v>897</v>
      </c>
      <c r="E19" s="8" t="s">
        <v>898</v>
      </c>
      <c r="F19" s="48" t="s">
        <v>4</v>
      </c>
      <c r="H19" s="16">
        <v>-5.9956680831248832E-2</v>
      </c>
      <c r="I19" s="16">
        <v>-0.13955638738549681</v>
      </c>
      <c r="J19" s="16">
        <v>0.73126200301436484</v>
      </c>
      <c r="K19" s="16">
        <v>0.33651308327286245</v>
      </c>
      <c r="L19" s="16">
        <v>0.62033664878534012</v>
      </c>
      <c r="M19" s="16">
        <v>1.2092919162719653</v>
      </c>
      <c r="N19" s="16">
        <v>-0.75329908366096276</v>
      </c>
      <c r="O19" s="16">
        <v>0.37901796228304363</v>
      </c>
    </row>
    <row r="20" spans="2:15" x14ac:dyDescent="0.25">
      <c r="B20" s="433"/>
      <c r="C20" s="433"/>
      <c r="D20" t="s">
        <v>891</v>
      </c>
      <c r="E20" s="8" t="s">
        <v>871</v>
      </c>
      <c r="F20" s="48" t="s">
        <v>730</v>
      </c>
      <c r="H20" s="16">
        <v>-0.1494963171569503</v>
      </c>
      <c r="I20" s="16">
        <v>-5.9385274177546972E-2</v>
      </c>
      <c r="J20" s="16">
        <v>0.21106422727580001</v>
      </c>
      <c r="K20" s="16">
        <v>6.6118018257455002E-3</v>
      </c>
      <c r="L20" s="16">
        <v>-2.7251744461045634E-2</v>
      </c>
      <c r="M20" s="16">
        <v>-0.40511836616768654</v>
      </c>
      <c r="N20" s="16">
        <v>-0.13962486673427449</v>
      </c>
      <c r="O20" s="16">
        <v>-0.18989651823250397</v>
      </c>
    </row>
    <row r="21" spans="2:15" x14ac:dyDescent="0.25">
      <c r="B21" s="433"/>
      <c r="C21" s="433"/>
      <c r="D21" t="s">
        <v>892</v>
      </c>
      <c r="E21" s="8" t="s">
        <v>872</v>
      </c>
      <c r="F21" s="48" t="s">
        <v>900</v>
      </c>
      <c r="H21" s="16">
        <v>8.9539636325711797E-2</v>
      </c>
      <c r="I21" s="16">
        <v>-8.0171113207931521E-2</v>
      </c>
      <c r="J21" s="16">
        <v>0.52019777573853798</v>
      </c>
      <c r="K21" s="16">
        <v>0.32990128144714204</v>
      </c>
      <c r="L21" s="16">
        <v>0.64758839324639728</v>
      </c>
      <c r="M21" s="16">
        <v>1.6144102824396032</v>
      </c>
      <c r="N21" s="16">
        <v>-0.61367421692666935</v>
      </c>
      <c r="O21" s="16">
        <v>0.5689144805155596</v>
      </c>
    </row>
    <row r="23" spans="2:15" x14ac:dyDescent="0.25">
      <c r="B23" t="s">
        <v>884</v>
      </c>
    </row>
    <row r="24" spans="2:15" x14ac:dyDescent="0.25">
      <c r="B24" s="8" t="s">
        <v>886</v>
      </c>
    </row>
    <row r="26" spans="2:15" x14ac:dyDescent="0.25">
      <c r="B26" t="s">
        <v>899</v>
      </c>
    </row>
    <row r="27" spans="2:15" ht="67.5" customHeight="1" x14ac:dyDescent="0.25"/>
    <row r="28" spans="2:15" ht="67.5" customHeight="1" x14ac:dyDescent="0.25">
      <c r="B28" s="432" t="s">
        <v>1216</v>
      </c>
      <c r="C28" s="432"/>
      <c r="D28" s="432"/>
      <c r="E28" s="432"/>
      <c r="F28" s="432"/>
      <c r="G28" s="432"/>
      <c r="H28" s="432"/>
      <c r="I28" s="432"/>
      <c r="J28" s="432"/>
      <c r="K28" s="432"/>
      <c r="L28" s="432"/>
      <c r="M28" s="432"/>
      <c r="N28" s="34"/>
      <c r="O28" s="34"/>
    </row>
    <row r="29" spans="2:15" x14ac:dyDescent="0.25">
      <c r="C29" s="287"/>
      <c r="D29" s="287"/>
      <c r="E29" s="287"/>
      <c r="F29" s="287"/>
      <c r="G29" s="287"/>
      <c r="H29" s="287"/>
      <c r="I29" s="287"/>
      <c r="J29" s="287"/>
      <c r="K29" s="287"/>
      <c r="L29" s="287"/>
      <c r="M29" s="287"/>
      <c r="N29" s="287"/>
      <c r="O29" s="287"/>
    </row>
    <row r="30" spans="2:15" ht="16.149999999999999" customHeight="1" x14ac:dyDescent="0.25">
      <c r="B30" s="8" t="s">
        <v>1606</v>
      </c>
    </row>
    <row r="31" spans="2:15" ht="72" customHeight="1" x14ac:dyDescent="0.25"/>
    <row r="32" spans="2:15" ht="67.5" customHeight="1" x14ac:dyDescent="0.25">
      <c r="B32" s="432" t="s">
        <v>1607</v>
      </c>
      <c r="C32" s="432"/>
      <c r="D32" s="432"/>
      <c r="E32" s="432"/>
      <c r="F32" s="432"/>
      <c r="G32" s="432"/>
      <c r="H32" s="432"/>
      <c r="I32" s="432"/>
      <c r="J32" s="432"/>
      <c r="K32" s="432"/>
      <c r="L32" s="432"/>
      <c r="M32" s="432"/>
    </row>
  </sheetData>
  <mergeCells count="6">
    <mergeCell ref="B32:M32"/>
    <mergeCell ref="C15:C17"/>
    <mergeCell ref="C19:C21"/>
    <mergeCell ref="B15:B17"/>
    <mergeCell ref="B19:B21"/>
    <mergeCell ref="B28:M28"/>
  </mergeCells>
  <hyperlinks>
    <hyperlink ref="A5" location="Índice!A1" display="Índice/Contents" xr:uid="{0FB67853-59F8-42A9-A6AF-6A2FEC1F95DC}"/>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DD87-163A-42E7-A1A2-D83879CF9F65}">
  <sheetPr codeName="Sheet71"/>
  <dimension ref="A5:O44"/>
  <sheetViews>
    <sheetView showGridLines="0" topLeftCell="A19" zoomScaleNormal="100" workbookViewId="0">
      <selection activeCell="B44" sqref="B44"/>
    </sheetView>
  </sheetViews>
  <sheetFormatPr defaultRowHeight="15" x14ac:dyDescent="0.25"/>
  <cols>
    <col min="1" max="1" width="9.5703125" customWidth="1"/>
    <col min="2" max="3" width="4.42578125" customWidth="1"/>
    <col min="4" max="4" width="31.140625" customWidth="1"/>
    <col min="5" max="6" width="4.42578125" customWidth="1"/>
    <col min="7" max="7" width="26.42578125" customWidth="1"/>
    <col min="8" max="8" width="10.42578125" bestFit="1" customWidth="1"/>
    <col min="9" max="10" width="10.5703125" bestFit="1" customWidth="1"/>
    <col min="11" max="11" width="10.85546875" bestFit="1" customWidth="1"/>
    <col min="12" max="12" width="9.140625" customWidth="1"/>
    <col min="13" max="13" width="8.42578125" bestFit="1" customWidth="1"/>
    <col min="14" max="14" width="11.140625" bestFit="1" customWidth="1"/>
    <col min="15" max="15" width="9.5703125" bestFit="1" customWidth="1"/>
  </cols>
  <sheetData>
    <row r="5" spans="1:15" x14ac:dyDescent="0.25">
      <c r="A5" s="10" t="s">
        <v>3</v>
      </c>
      <c r="B5" s="10"/>
      <c r="C5" s="10"/>
    </row>
    <row r="6" spans="1:15" ht="18.75" x14ac:dyDescent="0.25">
      <c r="A6" s="6" t="s">
        <v>179</v>
      </c>
      <c r="B6" s="6"/>
      <c r="C6" s="6"/>
    </row>
    <row r="7" spans="1:15" ht="18.75" x14ac:dyDescent="0.25">
      <c r="A7" s="78" t="str">
        <f>+Índice!A31</f>
        <v>Caixa 2-Termos de troca no comércio de bens /Box 2-Terms of trade in goods</v>
      </c>
      <c r="B7" s="6"/>
      <c r="C7" s="6"/>
    </row>
    <row r="8" spans="1:15" ht="18.75" x14ac:dyDescent="0.25">
      <c r="A8" s="6"/>
      <c r="B8" s="6"/>
      <c r="C8" s="6"/>
    </row>
    <row r="10" spans="1:15" x14ac:dyDescent="0.25">
      <c r="A10" t="s">
        <v>1597</v>
      </c>
    </row>
    <row r="11" spans="1:15" x14ac:dyDescent="0.25">
      <c r="A11" s="8" t="s">
        <v>1598</v>
      </c>
    </row>
    <row r="13" spans="1:15" x14ac:dyDescent="0.25">
      <c r="A13" s="48" t="s">
        <v>2</v>
      </c>
      <c r="H13" s="276" t="s">
        <v>4</v>
      </c>
      <c r="I13" s="276" t="s">
        <v>4</v>
      </c>
      <c r="J13" s="276" t="s">
        <v>4</v>
      </c>
      <c r="K13" s="276" t="s">
        <v>4</v>
      </c>
      <c r="L13" s="276" t="s">
        <v>4</v>
      </c>
      <c r="M13" s="298" t="s">
        <v>730</v>
      </c>
      <c r="N13" s="276" t="s">
        <v>730</v>
      </c>
      <c r="O13" s="276" t="s">
        <v>730</v>
      </c>
    </row>
    <row r="14" spans="1:15" s="48" customFormat="1" ht="15" customHeight="1" x14ac:dyDescent="0.25">
      <c r="J14" s="437" t="s">
        <v>861</v>
      </c>
      <c r="K14" s="437"/>
      <c r="L14" s="437"/>
      <c r="M14" s="437"/>
      <c r="N14" s="437"/>
      <c r="O14" s="437"/>
    </row>
    <row r="15" spans="1:15" s="48" customFormat="1" ht="15" customHeight="1" x14ac:dyDescent="0.25">
      <c r="H15" s="437" t="s">
        <v>877</v>
      </c>
      <c r="I15" s="437"/>
      <c r="J15" s="437" t="s">
        <v>878</v>
      </c>
      <c r="K15" s="437"/>
      <c r="L15" s="437"/>
      <c r="M15" s="437" t="s">
        <v>879</v>
      </c>
      <c r="N15" s="437"/>
      <c r="O15" s="437"/>
    </row>
    <row r="16" spans="1:15" s="48" customFormat="1" ht="15" customHeight="1" x14ac:dyDescent="0.25">
      <c r="H16" s="438" t="s">
        <v>874</v>
      </c>
      <c r="I16" s="438"/>
      <c r="J16" s="438" t="s">
        <v>876</v>
      </c>
      <c r="K16" s="438"/>
      <c r="L16" s="438"/>
      <c r="M16" s="438" t="s">
        <v>875</v>
      </c>
      <c r="N16" s="438"/>
      <c r="O16" s="438"/>
    </row>
    <row r="17" spans="2:15" s="48" customFormat="1" ht="24" x14ac:dyDescent="0.25">
      <c r="H17" s="296" t="s">
        <v>21</v>
      </c>
      <c r="I17" s="296" t="s">
        <v>23</v>
      </c>
      <c r="J17" s="296" t="s">
        <v>862</v>
      </c>
      <c r="K17" s="296" t="s">
        <v>863</v>
      </c>
      <c r="L17" s="296" t="s">
        <v>864</v>
      </c>
      <c r="M17" s="296" t="s">
        <v>865</v>
      </c>
      <c r="N17" s="296" t="s">
        <v>866</v>
      </c>
      <c r="O17" s="296" t="s">
        <v>867</v>
      </c>
    </row>
    <row r="18" spans="2:15" s="48" customFormat="1" ht="24" x14ac:dyDescent="0.25">
      <c r="H18" s="297" t="s">
        <v>22</v>
      </c>
      <c r="I18" s="297" t="s">
        <v>24</v>
      </c>
      <c r="J18" s="297" t="s">
        <v>868</v>
      </c>
      <c r="K18" s="297" t="s">
        <v>869</v>
      </c>
      <c r="L18" s="297" t="s">
        <v>870</v>
      </c>
      <c r="M18" s="297" t="s">
        <v>871</v>
      </c>
      <c r="N18" s="297" t="s">
        <v>872</v>
      </c>
      <c r="O18" s="297" t="s">
        <v>873</v>
      </c>
    </row>
    <row r="19" spans="2:15" x14ac:dyDescent="0.25">
      <c r="B19" s="434" t="s">
        <v>832</v>
      </c>
      <c r="C19" s="434"/>
      <c r="D19" s="434"/>
      <c r="E19" s="292" t="s">
        <v>848</v>
      </c>
      <c r="F19" s="292"/>
      <c r="G19" s="292"/>
      <c r="H19" s="16">
        <v>3.0953757634891295</v>
      </c>
      <c r="I19" s="16">
        <v>5.7006410772793954</v>
      </c>
      <c r="J19" s="16">
        <v>14.636668138196043</v>
      </c>
      <c r="K19" s="16">
        <v>27.68505065069786</v>
      </c>
      <c r="L19" s="16">
        <v>-13.048382512501817</v>
      </c>
      <c r="M19" s="16">
        <v>-0.48504940954580611</v>
      </c>
      <c r="N19" s="16">
        <v>-0.59709602693806307</v>
      </c>
      <c r="O19" s="16">
        <v>-1.0821454364838692</v>
      </c>
    </row>
    <row r="20" spans="2:15" x14ac:dyDescent="0.25">
      <c r="B20" s="434" t="s">
        <v>626</v>
      </c>
      <c r="C20" s="434"/>
      <c r="D20" s="434"/>
      <c r="E20" s="292" t="s">
        <v>556</v>
      </c>
      <c r="F20" s="292"/>
      <c r="G20" s="292"/>
      <c r="H20" s="16">
        <v>1.1325865795518637</v>
      </c>
      <c r="I20" s="16">
        <v>0.1978707394548459</v>
      </c>
      <c r="J20" s="16">
        <v>35.76895508617001</v>
      </c>
      <c r="K20" s="16">
        <v>11.577051289706148</v>
      </c>
      <c r="L20" s="16">
        <v>24.191903796463862</v>
      </c>
      <c r="M20" s="16">
        <v>0.18586517279870016</v>
      </c>
      <c r="N20" s="16">
        <v>0.13133756629734</v>
      </c>
      <c r="O20" s="16">
        <v>0.31720273909604013</v>
      </c>
    </row>
    <row r="21" spans="2:15" x14ac:dyDescent="0.25">
      <c r="B21" s="434" t="s">
        <v>833</v>
      </c>
      <c r="C21" s="434"/>
      <c r="D21" s="434"/>
      <c r="E21" s="292" t="s">
        <v>546</v>
      </c>
      <c r="F21" s="292"/>
      <c r="G21" s="292"/>
      <c r="H21" s="16">
        <v>89.370232815581858</v>
      </c>
      <c r="I21" s="16">
        <v>82.128082762491943</v>
      </c>
      <c r="J21" s="16">
        <v>21.614431771517957</v>
      </c>
      <c r="K21" s="16">
        <v>18.568549064061628</v>
      </c>
      <c r="L21" s="16">
        <v>3.0458827074563288</v>
      </c>
      <c r="M21" s="16">
        <v>1.267836609950618</v>
      </c>
      <c r="N21" s="16">
        <v>2.6511632921789716</v>
      </c>
      <c r="O21" s="16">
        <v>3.9189999021295896</v>
      </c>
    </row>
    <row r="22" spans="2:15" x14ac:dyDescent="0.25">
      <c r="B22" s="288"/>
      <c r="C22" s="435" t="s">
        <v>834</v>
      </c>
      <c r="D22" s="435"/>
      <c r="E22" s="293"/>
      <c r="F22" s="293" t="s">
        <v>849</v>
      </c>
      <c r="G22" s="293"/>
      <c r="H22" s="16">
        <v>8.9117863014488616</v>
      </c>
      <c r="I22" s="16">
        <v>9.4212126030156558</v>
      </c>
      <c r="J22" s="16">
        <v>30.277196382772672</v>
      </c>
      <c r="K22" s="16">
        <v>29.441917400112132</v>
      </c>
      <c r="L22" s="16">
        <v>0.83527898266054024</v>
      </c>
      <c r="M22" s="16">
        <v>-0.11082430336165416</v>
      </c>
      <c r="N22" s="16">
        <v>6.8526667570514344E-2</v>
      </c>
      <c r="O22" s="16">
        <v>-4.229763579113982E-2</v>
      </c>
    </row>
    <row r="23" spans="2:15" x14ac:dyDescent="0.25">
      <c r="B23" s="288"/>
      <c r="C23" s="435" t="s">
        <v>835</v>
      </c>
      <c r="D23" s="435"/>
      <c r="E23" s="293"/>
      <c r="F23" s="293" t="s">
        <v>850</v>
      </c>
      <c r="G23" s="293"/>
      <c r="H23" s="16">
        <v>5.562144012254346</v>
      </c>
      <c r="I23" s="16">
        <v>3.2125036411997971</v>
      </c>
      <c r="J23" s="16">
        <v>21.15374976425656</v>
      </c>
      <c r="K23" s="16">
        <v>4.9617904881522605</v>
      </c>
      <c r="L23" s="16">
        <v>16.191959276104299</v>
      </c>
      <c r="M23" s="16">
        <v>0.25205078453704943</v>
      </c>
      <c r="N23" s="16">
        <v>0.72786355965882199</v>
      </c>
      <c r="O23" s="16">
        <v>0.97991434419587142</v>
      </c>
    </row>
    <row r="24" spans="2:15" x14ac:dyDescent="0.25">
      <c r="B24" s="288"/>
      <c r="C24" s="435" t="s">
        <v>836</v>
      </c>
      <c r="D24" s="435"/>
      <c r="E24" s="293"/>
      <c r="F24" s="293" t="s">
        <v>851</v>
      </c>
      <c r="G24" s="293"/>
      <c r="H24" s="16">
        <v>11.927629836245137</v>
      </c>
      <c r="I24" s="16">
        <v>6.9616623493674865</v>
      </c>
      <c r="J24" s="16">
        <v>20.676467864404259</v>
      </c>
      <c r="K24" s="16">
        <v>1.3872488127038878</v>
      </c>
      <c r="L24" s="16">
        <v>19.289219051700371</v>
      </c>
      <c r="M24" s="16">
        <v>0.47846038005548852</v>
      </c>
      <c r="N24" s="16">
        <v>1.7881023232421744</v>
      </c>
      <c r="O24" s="16">
        <v>2.2665627032976632</v>
      </c>
    </row>
    <row r="25" spans="2:15" x14ac:dyDescent="0.25">
      <c r="B25" s="289"/>
      <c r="C25" s="289"/>
      <c r="D25" s="290" t="s">
        <v>837</v>
      </c>
      <c r="E25" s="294"/>
      <c r="F25" s="294"/>
      <c r="G25" s="291" t="s">
        <v>852</v>
      </c>
      <c r="H25" s="16">
        <v>3.2651835821806681</v>
      </c>
      <c r="I25" s="16">
        <v>2.2610581934439411</v>
      </c>
      <c r="J25" s="16">
        <v>13.86373428764756</v>
      </c>
      <c r="K25" s="16">
        <v>-1.3504789552542746</v>
      </c>
      <c r="L25" s="16">
        <v>15.214213242901835</v>
      </c>
      <c r="M25" s="16">
        <v>8.0592214718672645E-2</v>
      </c>
      <c r="N25" s="16">
        <v>0.39015047225572652</v>
      </c>
      <c r="O25" s="16">
        <v>0.47074268697439914</v>
      </c>
    </row>
    <row r="26" spans="2:15" x14ac:dyDescent="0.25">
      <c r="B26" s="289"/>
      <c r="C26" s="289"/>
      <c r="D26" s="290" t="s">
        <v>838</v>
      </c>
      <c r="E26" s="294"/>
      <c r="F26" s="294"/>
      <c r="G26" s="291" t="s">
        <v>853</v>
      </c>
      <c r="H26" s="16">
        <v>5.6756905363079886</v>
      </c>
      <c r="I26" s="16">
        <v>3.7713125876707063</v>
      </c>
      <c r="J26" s="16">
        <v>28.081940860812608</v>
      </c>
      <c r="K26" s="16">
        <v>-1.234233171696232</v>
      </c>
      <c r="L26" s="16">
        <v>29.31617403250884</v>
      </c>
      <c r="M26" s="16">
        <v>0.1941306595921036</v>
      </c>
      <c r="N26" s="16">
        <v>1.3892049803627751</v>
      </c>
      <c r="O26" s="16">
        <v>1.5833356399548786</v>
      </c>
    </row>
    <row r="27" spans="2:15" x14ac:dyDescent="0.25">
      <c r="B27" s="289"/>
      <c r="C27" s="289"/>
      <c r="D27" s="290" t="s">
        <v>839</v>
      </c>
      <c r="E27" s="294"/>
      <c r="F27" s="294"/>
      <c r="G27" s="291" t="s">
        <v>854</v>
      </c>
      <c r="H27" s="16">
        <v>2.9867557177564801</v>
      </c>
      <c r="I27" s="16">
        <v>0.92929156825283887</v>
      </c>
      <c r="J27" s="16">
        <v>14.823014858719034</v>
      </c>
      <c r="K27" s="16">
        <v>18.75606427945884</v>
      </c>
      <c r="L27" s="16">
        <v>-3.9330494207398061</v>
      </c>
      <c r="M27" s="16">
        <v>0.31035696224239118</v>
      </c>
      <c r="N27" s="16">
        <v>-9.7872585874005935E-2</v>
      </c>
      <c r="O27" s="16">
        <v>0.21248437636838524</v>
      </c>
    </row>
    <row r="28" spans="2:15" x14ac:dyDescent="0.25">
      <c r="B28" s="288"/>
      <c r="C28" s="435" t="s">
        <v>840</v>
      </c>
      <c r="D28" s="435"/>
      <c r="E28" s="293"/>
      <c r="F28" s="293" t="s">
        <v>855</v>
      </c>
      <c r="G28" s="293"/>
      <c r="H28" s="16">
        <v>7.2117890114444307</v>
      </c>
      <c r="I28" s="16">
        <v>2.8179509590156711</v>
      </c>
      <c r="J28" s="16">
        <v>31.246561008878402</v>
      </c>
      <c r="K28" s="16">
        <v>18.899208986363718</v>
      </c>
      <c r="L28" s="16">
        <v>12.347352022514684</v>
      </c>
      <c r="M28" s="16">
        <v>1.0008025774022811</v>
      </c>
      <c r="N28" s="16">
        <v>0.61169984684889067</v>
      </c>
      <c r="O28" s="16">
        <v>1.6125024242511716</v>
      </c>
    </row>
    <row r="29" spans="2:15" x14ac:dyDescent="0.25">
      <c r="B29" s="288"/>
      <c r="C29" s="435" t="s">
        <v>841</v>
      </c>
      <c r="D29" s="435"/>
      <c r="E29" s="293"/>
      <c r="F29" s="293" t="s">
        <v>856</v>
      </c>
      <c r="G29" s="293"/>
      <c r="H29" s="16">
        <v>15.267640019408409</v>
      </c>
      <c r="I29" s="16">
        <v>17.984797565464682</v>
      </c>
      <c r="J29" s="16">
        <v>19.822895446228685</v>
      </c>
      <c r="K29" s="16">
        <v>23.663392012113178</v>
      </c>
      <c r="L29" s="16">
        <v>-3.840496565884493</v>
      </c>
      <c r="M29" s="16">
        <v>-0.35034298984567669</v>
      </c>
      <c r="N29" s="16">
        <v>-0.5216004316976397</v>
      </c>
      <c r="O29" s="16">
        <v>-0.87194342154331639</v>
      </c>
    </row>
    <row r="30" spans="2:15" x14ac:dyDescent="0.25">
      <c r="B30" s="288"/>
      <c r="C30" s="435" t="s">
        <v>842</v>
      </c>
      <c r="D30" s="435"/>
      <c r="E30" s="293"/>
      <c r="F30" s="293" t="s">
        <v>857</v>
      </c>
      <c r="G30" s="293"/>
      <c r="H30" s="16">
        <v>13.994166000849376</v>
      </c>
      <c r="I30" s="16">
        <v>13.715569377319497</v>
      </c>
      <c r="J30" s="16">
        <v>18.608607621507304</v>
      </c>
      <c r="K30" s="16">
        <v>16.881431595348502</v>
      </c>
      <c r="L30" s="16">
        <v>1.7271760261588014</v>
      </c>
      <c r="M30" s="16">
        <v>0.11179791289207423</v>
      </c>
      <c r="N30" s="16">
        <v>0.21902982845924088</v>
      </c>
      <c r="O30" s="16">
        <v>0.3308277413513151</v>
      </c>
    </row>
    <row r="31" spans="2:15" x14ac:dyDescent="0.25">
      <c r="B31" s="288"/>
      <c r="C31" s="435" t="s">
        <v>843</v>
      </c>
      <c r="D31" s="435"/>
      <c r="E31" s="293"/>
      <c r="F31" s="293" t="s">
        <v>858</v>
      </c>
      <c r="G31" s="293"/>
      <c r="H31" s="16">
        <v>12.261525283994816</v>
      </c>
      <c r="I31" s="16">
        <v>9.2827235139473849</v>
      </c>
      <c r="J31" s="16">
        <v>22.725915050550157</v>
      </c>
      <c r="K31" s="16">
        <v>26.931860068011147</v>
      </c>
      <c r="L31" s="16">
        <v>-4.2059450174609907</v>
      </c>
      <c r="M31" s="16">
        <v>0.56919501646159421</v>
      </c>
      <c r="N31" s="16">
        <v>-0.44192194390128803</v>
      </c>
      <c r="O31" s="16">
        <v>0.12727307256030618</v>
      </c>
    </row>
    <row r="32" spans="2:15" x14ac:dyDescent="0.25">
      <c r="B32" s="288"/>
      <c r="C32" s="435" t="s">
        <v>844</v>
      </c>
      <c r="D32" s="435"/>
      <c r="E32" s="293"/>
      <c r="F32" s="293" t="s">
        <v>859</v>
      </c>
      <c r="G32" s="293"/>
      <c r="H32" s="16">
        <v>8.0810236941974285</v>
      </c>
      <c r="I32" s="16">
        <v>14.423955454163858</v>
      </c>
      <c r="J32" s="16">
        <v>24.838644362032397</v>
      </c>
      <c r="K32" s="16">
        <v>16.662877375236434</v>
      </c>
      <c r="L32" s="16">
        <v>8.1757669867959635</v>
      </c>
      <c r="M32" s="16">
        <v>-1.6341350855550367</v>
      </c>
      <c r="N32" s="16">
        <v>1.0087632118749328</v>
      </c>
      <c r="O32" s="16">
        <v>-0.62537187368010394</v>
      </c>
    </row>
    <row r="33" spans="2:15" x14ac:dyDescent="0.25">
      <c r="B33" s="288"/>
      <c r="C33" s="435" t="s">
        <v>68</v>
      </c>
      <c r="D33" s="435"/>
      <c r="E33" s="293"/>
      <c r="F33" s="293" t="s">
        <v>67</v>
      </c>
      <c r="G33" s="293"/>
      <c r="H33" s="16">
        <v>6.1525286557390579</v>
      </c>
      <c r="I33" s="16">
        <v>4.3077072989979008</v>
      </c>
      <c r="J33" s="16">
        <v>11.356307765709744</v>
      </c>
      <c r="K33" s="16">
        <v>11.595532230755907</v>
      </c>
      <c r="L33" s="16">
        <v>-0.23922446504616346</v>
      </c>
      <c r="M33" s="16">
        <v>0.18470514424484205</v>
      </c>
      <c r="N33" s="16">
        <v>-4.3172596757063642E-2</v>
      </c>
      <c r="O33" s="16">
        <v>0.14153254748777841</v>
      </c>
    </row>
    <row r="34" spans="2:15" x14ac:dyDescent="0.25">
      <c r="B34" s="290"/>
      <c r="C34" s="435"/>
      <c r="D34" s="435"/>
      <c r="E34" s="291"/>
      <c r="F34" s="293"/>
      <c r="G34" s="293"/>
      <c r="H34" s="16"/>
      <c r="I34" s="16"/>
      <c r="J34" s="16"/>
      <c r="K34" s="16"/>
      <c r="L34" s="16"/>
      <c r="M34" s="16"/>
      <c r="N34" s="16"/>
      <c r="O34" s="16"/>
    </row>
    <row r="35" spans="2:15" x14ac:dyDescent="0.25">
      <c r="B35" s="434" t="s">
        <v>845</v>
      </c>
      <c r="C35" s="434"/>
      <c r="D35" s="434"/>
      <c r="E35" s="292" t="s">
        <v>860</v>
      </c>
      <c r="F35" s="292"/>
      <c r="G35" s="292"/>
      <c r="H35" s="16">
        <v>93.598195158622858</v>
      </c>
      <c r="I35" s="16">
        <v>88.026594579226185</v>
      </c>
      <c r="J35" s="16">
        <v>21.441272554039813</v>
      </c>
      <c r="K35" s="16">
        <v>19.117663092289945</v>
      </c>
      <c r="L35" s="16">
        <v>2.3236094617498679</v>
      </c>
      <c r="M35" s="16">
        <v>0.30914465658153478</v>
      </c>
      <c r="N35" s="16">
        <v>2.844912548160182</v>
      </c>
      <c r="O35" s="16">
        <v>3.1540572047417168</v>
      </c>
    </row>
    <row r="36" spans="2:15" x14ac:dyDescent="0.25">
      <c r="B36" s="434" t="s">
        <v>846</v>
      </c>
      <c r="C36" s="434"/>
      <c r="D36" s="434"/>
      <c r="E36" s="292" t="s">
        <v>703</v>
      </c>
      <c r="F36" s="292"/>
      <c r="G36" s="292"/>
      <c r="H36" s="16">
        <v>6.401804841377146</v>
      </c>
      <c r="I36" s="16">
        <v>11.973405420773824</v>
      </c>
      <c r="J36" s="16">
        <v>87.523518478945974</v>
      </c>
      <c r="K36" s="16">
        <v>113.58994816868288</v>
      </c>
      <c r="L36" s="16">
        <v>-26.066429689736907</v>
      </c>
      <c r="M36" s="16">
        <v>-3.8126214074148406</v>
      </c>
      <c r="N36" s="16">
        <v>-2.0567315972214057</v>
      </c>
      <c r="O36" s="16">
        <v>-5.8693530046362463</v>
      </c>
    </row>
    <row r="37" spans="2:15" ht="15.75" x14ac:dyDescent="0.25">
      <c r="B37" s="436"/>
      <c r="C37" s="436"/>
      <c r="D37" s="436"/>
      <c r="E37" s="295"/>
      <c r="F37" s="295"/>
      <c r="G37" s="295"/>
      <c r="H37" s="16"/>
      <c r="I37" s="16"/>
      <c r="J37" s="16"/>
      <c r="K37" s="16"/>
      <c r="L37" s="16"/>
      <c r="M37" s="16"/>
      <c r="N37" s="16"/>
      <c r="O37" s="16"/>
    </row>
    <row r="38" spans="2:15" ht="15.75" x14ac:dyDescent="0.25">
      <c r="B38" s="436" t="s">
        <v>847</v>
      </c>
      <c r="C38" s="436"/>
      <c r="D38" s="436"/>
      <c r="E38" s="295" t="s">
        <v>847</v>
      </c>
      <c r="F38" s="295"/>
      <c r="G38" s="295"/>
      <c r="H38" s="16">
        <v>100</v>
      </c>
      <c r="I38" s="16">
        <v>100</v>
      </c>
      <c r="J38" s="16">
        <v>22.873316254438507</v>
      </c>
      <c r="K38" s="16">
        <v>25.588612054333026</v>
      </c>
      <c r="L38" s="16">
        <v>-2.7152957998945197</v>
      </c>
      <c r="M38" s="16">
        <v>-3.5034767508333058</v>
      </c>
      <c r="N38" s="16">
        <v>0.78818095093877649</v>
      </c>
      <c r="O38" s="16">
        <v>-2.7152957998945295</v>
      </c>
    </row>
    <row r="40" spans="2:15" x14ac:dyDescent="0.25">
      <c r="B40" t="s">
        <v>885</v>
      </c>
    </row>
    <row r="41" spans="2:15" x14ac:dyDescent="0.25">
      <c r="B41" t="s">
        <v>1595</v>
      </c>
    </row>
    <row r="43" spans="2:15" x14ac:dyDescent="0.25">
      <c r="B43" s="8" t="s">
        <v>886</v>
      </c>
    </row>
    <row r="44" spans="2:15" x14ac:dyDescent="0.25">
      <c r="B44" s="8" t="s">
        <v>1596</v>
      </c>
    </row>
  </sheetData>
  <mergeCells count="24">
    <mergeCell ref="J14:O14"/>
    <mergeCell ref="H15:I15"/>
    <mergeCell ref="H16:I16"/>
    <mergeCell ref="J15:L15"/>
    <mergeCell ref="J16:L16"/>
    <mergeCell ref="M16:O16"/>
    <mergeCell ref="M15:O15"/>
    <mergeCell ref="B37:D37"/>
    <mergeCell ref="B38:D38"/>
    <mergeCell ref="C31:D31"/>
    <mergeCell ref="C32:D32"/>
    <mergeCell ref="C33:D33"/>
    <mergeCell ref="C34:D34"/>
    <mergeCell ref="B35:D35"/>
    <mergeCell ref="C24:D24"/>
    <mergeCell ref="C28:D28"/>
    <mergeCell ref="C29:D29"/>
    <mergeCell ref="C30:D30"/>
    <mergeCell ref="B36:D36"/>
    <mergeCell ref="B19:D19"/>
    <mergeCell ref="B20:D20"/>
    <mergeCell ref="B21:D21"/>
    <mergeCell ref="C22:D22"/>
    <mergeCell ref="C23:D23"/>
  </mergeCells>
  <hyperlinks>
    <hyperlink ref="A5" location="Índice!A1" display="Índice/Contents" xr:uid="{91D79D9B-6064-47F5-A9FB-000BFE6898AE}"/>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C409-3505-4B8D-8E6A-0ED96CCAD575}">
  <sheetPr codeName="Sheet111"/>
  <dimension ref="A5:K35"/>
  <sheetViews>
    <sheetView showGridLines="0" topLeftCell="A6" zoomScaleNormal="100" workbookViewId="0">
      <selection activeCell="A30" sqref="A1:XFD1048576"/>
    </sheetView>
  </sheetViews>
  <sheetFormatPr defaultRowHeight="15" x14ac:dyDescent="0.25"/>
  <cols>
    <col min="1" max="2" width="17.42578125" customWidth="1"/>
    <col min="3" max="5" width="12.5703125" customWidth="1"/>
    <col min="6" max="6" width="4.5703125" customWidth="1"/>
    <col min="7" max="11" width="12.5703125" customWidth="1"/>
    <col min="12" max="12" width="11.85546875" customWidth="1"/>
  </cols>
  <sheetData>
    <row r="5" spans="1:11" x14ac:dyDescent="0.25">
      <c r="A5" s="10" t="s">
        <v>3</v>
      </c>
      <c r="B5" s="10"/>
      <c r="C5" s="10"/>
    </row>
    <row r="6" spans="1:11" ht="18.75" x14ac:dyDescent="0.25">
      <c r="A6" s="6" t="s">
        <v>179</v>
      </c>
      <c r="B6" s="6"/>
      <c r="C6" s="6"/>
    </row>
    <row r="7" spans="1:11" ht="18.75" x14ac:dyDescent="0.25">
      <c r="A7" s="78" t="str">
        <f>+Índice!$A$41</f>
        <v>Caixa 3 - A transmissão do preço dos bens energéticos ao IHPC / Box 3- The pass-through of energy prices to the HICP</v>
      </c>
      <c r="B7" s="6"/>
      <c r="C7" s="6"/>
    </row>
    <row r="8" spans="1:11" ht="18.75" x14ac:dyDescent="0.25">
      <c r="A8" s="6"/>
      <c r="B8" s="6"/>
      <c r="C8" s="6"/>
    </row>
    <row r="9" spans="1:11" x14ac:dyDescent="0.25">
      <c r="A9" s="7"/>
      <c r="B9" s="7"/>
      <c r="C9" s="7"/>
    </row>
    <row r="10" spans="1:11" x14ac:dyDescent="0.25">
      <c r="A10" t="s">
        <v>913</v>
      </c>
    </row>
    <row r="11" spans="1:11" x14ac:dyDescent="0.25">
      <c r="A11" s="8" t="s">
        <v>1580</v>
      </c>
    </row>
    <row r="13" spans="1:11" s="42" customFormat="1" ht="16.5" customHeight="1" x14ac:dyDescent="0.25">
      <c r="A13" s="259"/>
      <c r="B13" s="259"/>
      <c r="C13" s="440" t="s">
        <v>679</v>
      </c>
      <c r="D13" s="440"/>
      <c r="E13" s="440"/>
      <c r="F13" s="260"/>
      <c r="G13" s="440" t="s">
        <v>680</v>
      </c>
      <c r="H13" s="440"/>
      <c r="I13" s="440"/>
      <c r="J13" s="440"/>
      <c r="K13" s="440"/>
    </row>
    <row r="14" spans="1:11" s="42" customFormat="1" ht="16.5" customHeight="1" x14ac:dyDescent="0.25">
      <c r="A14" s="259"/>
      <c r="B14" s="259"/>
      <c r="C14" s="439" t="s">
        <v>733</v>
      </c>
      <c r="D14" s="439"/>
      <c r="E14" s="439"/>
      <c r="F14" s="260"/>
      <c r="G14" s="439" t="s">
        <v>702</v>
      </c>
      <c r="H14" s="439"/>
      <c r="I14" s="439"/>
      <c r="J14" s="439"/>
      <c r="K14" s="439"/>
    </row>
    <row r="15" spans="1:11" s="42" customFormat="1" ht="16.5" customHeight="1" x14ac:dyDescent="0.25">
      <c r="A15" s="9" t="s">
        <v>2</v>
      </c>
      <c r="B15" s="259"/>
      <c r="C15" s="279" t="s">
        <v>4</v>
      </c>
      <c r="D15" s="279" t="s">
        <v>730</v>
      </c>
      <c r="E15" s="279" t="s">
        <v>730</v>
      </c>
      <c r="F15" s="280"/>
      <c r="G15" s="279" t="s">
        <v>4</v>
      </c>
      <c r="H15" s="279" t="s">
        <v>730</v>
      </c>
      <c r="I15" s="279" t="s">
        <v>730</v>
      </c>
      <c r="J15" s="279" t="s">
        <v>730</v>
      </c>
      <c r="K15" s="279" t="s">
        <v>730</v>
      </c>
    </row>
    <row r="16" spans="1:11" ht="45" customHeight="1" x14ac:dyDescent="0.25">
      <c r="A16" s="253"/>
      <c r="B16" s="253"/>
      <c r="C16" s="254" t="s">
        <v>681</v>
      </c>
      <c r="D16" s="255" t="s">
        <v>682</v>
      </c>
      <c r="E16" s="255" t="s">
        <v>683</v>
      </c>
      <c r="F16" s="256"/>
      <c r="G16" s="254" t="s">
        <v>1573</v>
      </c>
      <c r="H16" s="255" t="s">
        <v>684</v>
      </c>
      <c r="I16" s="255" t="s">
        <v>685</v>
      </c>
      <c r="J16" s="255" t="s">
        <v>699</v>
      </c>
      <c r="K16" s="255" t="s">
        <v>68</v>
      </c>
    </row>
    <row r="17" spans="1:11" ht="45" customHeight="1" x14ac:dyDescent="0.25">
      <c r="A17" s="253"/>
      <c r="B17" s="253"/>
      <c r="C17" s="262" t="s">
        <v>1571</v>
      </c>
      <c r="D17" s="255" t="s">
        <v>703</v>
      </c>
      <c r="E17" s="255" t="s">
        <v>704</v>
      </c>
      <c r="F17" s="263"/>
      <c r="G17" s="262" t="s">
        <v>1572</v>
      </c>
      <c r="H17" s="255" t="s">
        <v>705</v>
      </c>
      <c r="I17" s="255" t="s">
        <v>706</v>
      </c>
      <c r="J17" s="255" t="s">
        <v>707</v>
      </c>
      <c r="K17" s="255" t="s">
        <v>67</v>
      </c>
    </row>
    <row r="18" spans="1:11" x14ac:dyDescent="0.25">
      <c r="A18" s="166" t="s">
        <v>686</v>
      </c>
      <c r="B18" s="283" t="s">
        <v>708</v>
      </c>
      <c r="C18" s="22">
        <v>0.19465983194366743</v>
      </c>
      <c r="D18" s="22">
        <v>-0.11816290104360412</v>
      </c>
      <c r="E18" s="22">
        <v>0.30414704510087631</v>
      </c>
      <c r="F18" s="257"/>
      <c r="G18" s="258">
        <v>-1.7781757707560502</v>
      </c>
      <c r="H18" s="258">
        <v>-0.36087318149627468</v>
      </c>
      <c r="I18" s="258">
        <v>-0.63396666585873718</v>
      </c>
      <c r="J18" s="258">
        <v>-0.65117340812591806</v>
      </c>
      <c r="K18" s="258">
        <v>-7.077871395336599E-2</v>
      </c>
    </row>
    <row r="19" spans="1:11" x14ac:dyDescent="0.25">
      <c r="A19" s="166" t="s">
        <v>687</v>
      </c>
      <c r="B19" s="283" t="s">
        <v>709</v>
      </c>
      <c r="C19" s="22">
        <v>-6.0478736949306722E-2</v>
      </c>
      <c r="D19" s="22">
        <v>0.67556556042241767</v>
      </c>
      <c r="E19" s="22">
        <v>-0.73896652053057754</v>
      </c>
      <c r="F19" s="257"/>
      <c r="G19" s="258">
        <v>9.3519192759804497</v>
      </c>
      <c r="H19" s="258">
        <v>-9.2023850570593438E-2</v>
      </c>
      <c r="I19" s="258">
        <v>6.8067109530926762E-2</v>
      </c>
      <c r="J19" s="258">
        <v>9.0539382190452304</v>
      </c>
      <c r="K19" s="258">
        <v>0.32209580513573677</v>
      </c>
    </row>
    <row r="20" spans="1:11" x14ac:dyDescent="0.25">
      <c r="A20" s="166" t="s">
        <v>688</v>
      </c>
      <c r="B20" s="283" t="s">
        <v>710</v>
      </c>
      <c r="C20" s="22">
        <v>1.2273693705302549</v>
      </c>
      <c r="D20" s="22">
        <v>0.75768954991128445</v>
      </c>
      <c r="E20" s="22">
        <v>0.470671795720631</v>
      </c>
      <c r="F20" s="257"/>
      <c r="G20" s="258">
        <v>9.7944581322353201</v>
      </c>
      <c r="H20" s="258">
        <v>0.63973293475919546</v>
      </c>
      <c r="I20" s="258">
        <v>0.33260397932902785</v>
      </c>
      <c r="J20" s="258">
        <v>8.4850841809925015</v>
      </c>
      <c r="K20" s="258">
        <v>0.3378812462668126</v>
      </c>
    </row>
    <row r="21" spans="1:11" x14ac:dyDescent="0.25">
      <c r="A21" s="166" t="s">
        <v>689</v>
      </c>
      <c r="B21" s="283" t="s">
        <v>711</v>
      </c>
      <c r="C21" s="22">
        <v>2.4118140194750737</v>
      </c>
      <c r="D21" s="22">
        <v>1.0236634263683899</v>
      </c>
      <c r="E21" s="22">
        <v>1.3878773799888671</v>
      </c>
      <c r="F21" s="257"/>
      <c r="G21" s="258">
        <v>13.236636575717625</v>
      </c>
      <c r="H21" s="258">
        <v>1.0528084679168799</v>
      </c>
      <c r="I21" s="258">
        <v>1.1214061483281739</v>
      </c>
      <c r="J21" s="258">
        <v>10.527432182130934</v>
      </c>
      <c r="K21" s="258">
        <v>0.54578825321117996</v>
      </c>
    </row>
    <row r="22" spans="1:11" x14ac:dyDescent="0.25">
      <c r="A22" s="166" t="s">
        <v>690</v>
      </c>
      <c r="B22" s="283" t="s">
        <v>712</v>
      </c>
      <c r="C22" s="22">
        <v>4.4199073924165617</v>
      </c>
      <c r="D22" s="22">
        <v>1.2587494464525992</v>
      </c>
      <c r="E22" s="22">
        <v>3.1578129370213324</v>
      </c>
      <c r="F22" s="257"/>
      <c r="G22" s="258">
        <v>15.94165147173743</v>
      </c>
      <c r="H22" s="258">
        <v>2.0482421749548494</v>
      </c>
      <c r="I22" s="258">
        <v>1.8307119079731853</v>
      </c>
      <c r="J22" s="258">
        <v>11.425264405603805</v>
      </c>
      <c r="K22" s="258">
        <v>0.60913749418011953</v>
      </c>
    </row>
    <row r="23" spans="1:11" x14ac:dyDescent="0.25">
      <c r="A23" s="166" t="s">
        <v>691</v>
      </c>
      <c r="B23" s="283" t="s">
        <v>713</v>
      </c>
      <c r="C23" s="22">
        <v>8.1663853234385471</v>
      </c>
      <c r="D23" s="22">
        <v>2.2522634250624751</v>
      </c>
      <c r="E23" s="22">
        <v>5.9172338199078069</v>
      </c>
      <c r="F23" s="257"/>
      <c r="G23" s="258">
        <v>28.884449518011166</v>
      </c>
      <c r="H23" s="258">
        <v>7.6590391796309909</v>
      </c>
      <c r="I23" s="258">
        <v>4.385350426942475</v>
      </c>
      <c r="J23" s="258">
        <v>15.822468525499687</v>
      </c>
      <c r="K23" s="258">
        <v>0.99920766450666321</v>
      </c>
    </row>
    <row r="24" spans="1:11" x14ac:dyDescent="0.25">
      <c r="A24" s="166" t="s">
        <v>692</v>
      </c>
      <c r="B24" s="283" t="s">
        <v>714</v>
      </c>
      <c r="C24" s="22">
        <v>9.5312350825828247</v>
      </c>
      <c r="D24" s="22">
        <v>2.0647473422938263</v>
      </c>
      <c r="E24" s="22">
        <v>7.461411096098205</v>
      </c>
      <c r="F24" s="257"/>
      <c r="G24" s="258">
        <v>25.88915188589344</v>
      </c>
      <c r="H24" s="258">
        <v>11.490878263072746</v>
      </c>
      <c r="I24" s="258">
        <v>3.7003621804994951</v>
      </c>
      <c r="J24" s="258">
        <v>9.7866458736380295</v>
      </c>
      <c r="K24" s="258">
        <v>0.9278799572110259</v>
      </c>
    </row>
    <row r="25" spans="1:11" x14ac:dyDescent="0.25">
      <c r="A25" s="166" t="s">
        <v>693</v>
      </c>
      <c r="B25" s="283" t="s">
        <v>715</v>
      </c>
      <c r="C25" s="22">
        <v>10.207165795604809</v>
      </c>
      <c r="D25" s="22">
        <v>1.9626659362689676</v>
      </c>
      <c r="E25" s="22">
        <v>8.2433214156285803</v>
      </c>
      <c r="F25" s="257"/>
      <c r="G25" s="258">
        <v>24.331183566224752</v>
      </c>
      <c r="H25" s="258">
        <v>9.5804664333558076</v>
      </c>
      <c r="I25" s="258">
        <v>8.9746688460541666</v>
      </c>
      <c r="J25" s="258">
        <v>5.1436657908380026</v>
      </c>
      <c r="K25" s="258">
        <v>0.6342050477408252</v>
      </c>
    </row>
    <row r="26" spans="1:11" x14ac:dyDescent="0.25">
      <c r="A26" s="166" t="s">
        <v>694</v>
      </c>
      <c r="B26" s="283" t="s">
        <v>716</v>
      </c>
      <c r="C26" s="22">
        <v>8.3943190275365822</v>
      </c>
      <c r="D26" s="22">
        <v>0.19234509109269304</v>
      </c>
      <c r="E26" s="22">
        <v>8.1952695401096776</v>
      </c>
      <c r="F26" s="257"/>
      <c r="G26" s="258">
        <v>1.3985621208717305</v>
      </c>
      <c r="H26" s="258">
        <v>-1.8124827073983314</v>
      </c>
      <c r="I26" s="258">
        <v>6.6876946243212103</v>
      </c>
      <c r="J26" s="258">
        <v>-3.5180691660836301</v>
      </c>
      <c r="K26" s="258">
        <v>0.22065746212633197</v>
      </c>
    </row>
    <row r="27" spans="1:11" x14ac:dyDescent="0.25">
      <c r="A27" s="166" t="s">
        <v>695</v>
      </c>
      <c r="B27" s="283" t="s">
        <v>717</v>
      </c>
      <c r="C27" s="22">
        <v>5.653543770795892</v>
      </c>
      <c r="D27" s="22">
        <v>-1.3342155671234464</v>
      </c>
      <c r="E27" s="22">
        <v>6.9770750267209278</v>
      </c>
      <c r="F27" s="257"/>
      <c r="G27" s="258">
        <v>-15.775618157214922</v>
      </c>
      <c r="H27" s="258">
        <v>-6.6893256552990161</v>
      </c>
      <c r="I27" s="258">
        <v>1.7022828260142133</v>
      </c>
      <c r="J27" s="258">
        <v>-10.385326016162516</v>
      </c>
      <c r="K27" s="258">
        <v>-0.33828269324350835</v>
      </c>
    </row>
    <row r="28" spans="1:11" x14ac:dyDescent="0.25">
      <c r="A28" s="166" t="s">
        <v>696</v>
      </c>
      <c r="B28" s="283" t="s">
        <v>718</v>
      </c>
      <c r="C28" s="22">
        <v>4.8143413330234068</v>
      </c>
      <c r="D28" s="22">
        <v>-0.73525871458956416</v>
      </c>
      <c r="E28" s="22">
        <v>5.5366335287909632</v>
      </c>
      <c r="F28" s="257"/>
      <c r="G28" s="258">
        <v>-8.4951041437745545</v>
      </c>
      <c r="H28" s="258">
        <v>-6.4598752418597734</v>
      </c>
      <c r="I28" s="258">
        <v>1.5460972375274487</v>
      </c>
      <c r="J28" s="258">
        <v>-3.2470054942696258</v>
      </c>
      <c r="K28" s="258">
        <v>-0.20252415727021056</v>
      </c>
    </row>
    <row r="29" spans="1:11" x14ac:dyDescent="0.25">
      <c r="A29" s="166" t="s">
        <v>697</v>
      </c>
      <c r="B29" s="283" t="s">
        <v>719</v>
      </c>
      <c r="C29" s="22">
        <v>2.4454348074505816</v>
      </c>
      <c r="D29" s="22">
        <v>-0.98114580971321663</v>
      </c>
      <c r="E29" s="22">
        <v>3.4247085678613862</v>
      </c>
      <c r="F29" s="257"/>
      <c r="G29" s="258">
        <v>-11.428640042266025</v>
      </c>
      <c r="H29" s="258">
        <v>-5.6657818279454135</v>
      </c>
      <c r="I29" s="258">
        <v>-3.9073115219569026</v>
      </c>
      <c r="J29" s="258">
        <v>-1.7668884076201201</v>
      </c>
      <c r="K29" s="258">
        <v>-7.3541413364292207E-2</v>
      </c>
    </row>
    <row r="30" spans="1:11" x14ac:dyDescent="0.25">
      <c r="A30" s="166" t="s">
        <v>698</v>
      </c>
      <c r="B30" s="283" t="s">
        <v>720</v>
      </c>
      <c r="C30" s="22">
        <v>2.4631669289086204</v>
      </c>
      <c r="D30" s="22">
        <v>0.17500237631221485</v>
      </c>
      <c r="E30" s="22">
        <v>2.2839653621108118</v>
      </c>
      <c r="F30" s="257"/>
      <c r="G30" s="258">
        <v>3.0133495817869687</v>
      </c>
      <c r="H30" s="258">
        <v>5.4314990197637911</v>
      </c>
      <c r="I30" s="258">
        <v>-3.3682943561729952</v>
      </c>
      <c r="J30" s="258">
        <v>0.93224409835049893</v>
      </c>
      <c r="K30" s="258">
        <v>4.3773706919175703E-2</v>
      </c>
    </row>
    <row r="31" spans="1:11" x14ac:dyDescent="0.25">
      <c r="A31" s="252"/>
      <c r="B31" s="261"/>
      <c r="C31" s="22"/>
      <c r="D31" s="22"/>
      <c r="E31" s="22"/>
      <c r="F31" s="257"/>
      <c r="G31" s="258"/>
      <c r="H31" s="258"/>
      <c r="I31" s="258"/>
      <c r="J31" s="258"/>
      <c r="K31" s="258"/>
    </row>
    <row r="32" spans="1:11" x14ac:dyDescent="0.25">
      <c r="A32" t="s">
        <v>700</v>
      </c>
    </row>
    <row r="33" spans="1:3" x14ac:dyDescent="0.25">
      <c r="A33" s="8" t="s">
        <v>701</v>
      </c>
      <c r="B33" s="8"/>
    </row>
    <row r="35" spans="1:3" x14ac:dyDescent="0.25">
      <c r="B35" s="8"/>
      <c r="C35" s="8"/>
    </row>
  </sheetData>
  <mergeCells count="4">
    <mergeCell ref="G14:K14"/>
    <mergeCell ref="G13:K13"/>
    <mergeCell ref="C13:E13"/>
    <mergeCell ref="C14:E14"/>
  </mergeCells>
  <hyperlinks>
    <hyperlink ref="A5" location="Índice!A1" display="Índice/Contents" xr:uid="{5937BBC9-36F6-4419-9A89-5E4520DC59F6}"/>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D90E-B2E4-476D-925F-455E442A802A}">
  <sheetPr codeName="Sheet12"/>
  <dimension ref="A5:M34"/>
  <sheetViews>
    <sheetView showGridLines="0" zoomScaleNormal="100" workbookViewId="0">
      <selection activeCell="A30" sqref="A1:XFD1048576"/>
    </sheetView>
  </sheetViews>
  <sheetFormatPr defaultRowHeight="15" x14ac:dyDescent="0.25"/>
  <cols>
    <col min="1" max="2" width="18.140625" customWidth="1"/>
    <col min="3" max="7" width="10.5703125" customWidth="1"/>
    <col min="8" max="8" width="10.140625" customWidth="1"/>
    <col min="9" max="13" width="11.85546875" customWidth="1"/>
  </cols>
  <sheetData>
    <row r="5" spans="1:13" x14ac:dyDescent="0.25">
      <c r="A5" s="10" t="s">
        <v>3</v>
      </c>
      <c r="B5" s="10"/>
      <c r="C5" s="10"/>
      <c r="D5" s="10"/>
    </row>
    <row r="6" spans="1:13" ht="18.75" x14ac:dyDescent="0.25">
      <c r="A6" s="6" t="s">
        <v>179</v>
      </c>
      <c r="B6" s="6"/>
      <c r="C6" s="6"/>
      <c r="D6" s="6"/>
    </row>
    <row r="7" spans="1:13" ht="18.75" x14ac:dyDescent="0.25">
      <c r="A7" s="78" t="str">
        <f>+Índice!$A$41</f>
        <v>Caixa 3 - A transmissão do preço dos bens energéticos ao IHPC / Box 3- The pass-through of energy prices to the HICP</v>
      </c>
      <c r="B7" s="6"/>
      <c r="C7" s="6"/>
      <c r="D7" s="6"/>
    </row>
    <row r="8" spans="1:13" ht="18.75" x14ac:dyDescent="0.25">
      <c r="A8" s="6"/>
      <c r="B8" s="6"/>
      <c r="C8" s="6"/>
      <c r="D8" s="6"/>
    </row>
    <row r="9" spans="1:13" x14ac:dyDescent="0.25">
      <c r="A9" s="7"/>
      <c r="B9" s="7"/>
      <c r="C9" s="7"/>
      <c r="D9" s="7"/>
    </row>
    <row r="10" spans="1:13" x14ac:dyDescent="0.25">
      <c r="A10" t="s">
        <v>914</v>
      </c>
    </row>
    <row r="11" spans="1:13" x14ac:dyDescent="0.25">
      <c r="A11" s="8" t="s">
        <v>1579</v>
      </c>
    </row>
    <row r="13" spans="1:13" x14ac:dyDescent="0.25">
      <c r="A13" s="278" t="s">
        <v>784</v>
      </c>
      <c r="B13" s="137"/>
      <c r="C13" s="441" t="s">
        <v>731</v>
      </c>
      <c r="D13" s="441"/>
      <c r="E13" s="441"/>
      <c r="F13" s="441"/>
      <c r="G13" s="441"/>
      <c r="H13" s="137"/>
    </row>
    <row r="14" spans="1:13" s="42" customFormat="1" ht="16.5" customHeight="1" x14ac:dyDescent="0.2">
      <c r="A14" s="272"/>
      <c r="B14" s="272"/>
      <c r="C14" s="442" t="s">
        <v>732</v>
      </c>
      <c r="D14" s="442"/>
      <c r="E14" s="442"/>
      <c r="F14" s="442"/>
      <c r="G14" s="442"/>
      <c r="H14" s="273"/>
      <c r="J14" s="264"/>
      <c r="K14" s="264"/>
      <c r="L14" s="264"/>
      <c r="M14" s="264"/>
    </row>
    <row r="15" spans="1:13" s="42" customFormat="1" ht="16.5" customHeight="1" x14ac:dyDescent="0.25">
      <c r="A15" s="252"/>
      <c r="B15" s="252"/>
      <c r="C15" s="277" t="s">
        <v>721</v>
      </c>
      <c r="D15" s="277" t="s">
        <v>722</v>
      </c>
      <c r="E15" s="277" t="s">
        <v>723</v>
      </c>
      <c r="F15" s="277" t="s">
        <v>724</v>
      </c>
      <c r="G15" s="277" t="s">
        <v>725</v>
      </c>
      <c r="H15" s="265"/>
      <c r="J15" s="265"/>
      <c r="K15" s="265"/>
      <c r="L15" s="265"/>
      <c r="M15" s="265"/>
    </row>
    <row r="16" spans="1:13" x14ac:dyDescent="0.25">
      <c r="A16" s="252" t="s">
        <v>1158</v>
      </c>
      <c r="B16" s="261" t="s">
        <v>726</v>
      </c>
      <c r="C16" s="275">
        <v>0.214108798016174</v>
      </c>
      <c r="D16" s="275">
        <v>0.23595119960750624</v>
      </c>
      <c r="E16" s="275">
        <v>0.18714925811536315</v>
      </c>
      <c r="F16" s="275">
        <v>9.5243145042363253E-2</v>
      </c>
      <c r="G16" s="275">
        <v>1.7882940304984156E-2</v>
      </c>
      <c r="H16" s="274"/>
      <c r="J16" s="258"/>
      <c r="K16" s="258"/>
      <c r="L16" s="258"/>
      <c r="M16" s="258"/>
    </row>
    <row r="17" spans="1:13" x14ac:dyDescent="0.25">
      <c r="A17" s="252" t="s">
        <v>1159</v>
      </c>
      <c r="B17" s="261" t="s">
        <v>727</v>
      </c>
      <c r="C17" s="275">
        <v>7.622420312108651E-3</v>
      </c>
      <c r="D17" s="275">
        <v>4.9846428425619024E-2</v>
      </c>
      <c r="E17" s="275">
        <v>6.1007223725486032E-2</v>
      </c>
      <c r="F17" s="275">
        <v>4.0515611895230071E-2</v>
      </c>
      <c r="G17" s="275">
        <v>1.1421839343612404E-2</v>
      </c>
      <c r="H17" s="274"/>
      <c r="J17" s="258"/>
      <c r="K17" s="258"/>
      <c r="L17" s="258"/>
      <c r="M17" s="258"/>
    </row>
    <row r="18" spans="1:13" x14ac:dyDescent="0.25">
      <c r="A18" s="252" t="s">
        <v>1160</v>
      </c>
      <c r="B18" s="261" t="s">
        <v>729</v>
      </c>
      <c r="C18" s="275">
        <v>2.6486204534941202E-2</v>
      </c>
      <c r="D18" s="275">
        <v>8.1709921327005164E-2</v>
      </c>
      <c r="E18" s="275">
        <v>8.4860230715418802E-2</v>
      </c>
      <c r="F18" s="275">
        <v>5.1328225314951299E-2</v>
      </c>
      <c r="G18" s="275">
        <v>1.5299722140738641E-2</v>
      </c>
      <c r="H18" s="274"/>
      <c r="J18" s="258"/>
      <c r="K18" s="258"/>
      <c r="L18" s="258"/>
      <c r="M18" s="258"/>
    </row>
    <row r="19" spans="1:13" x14ac:dyDescent="0.25">
      <c r="A19" s="252" t="s">
        <v>1161</v>
      </c>
      <c r="B19" s="261" t="s">
        <v>728</v>
      </c>
      <c r="C19" s="275">
        <v>0.18000017316912414</v>
      </c>
      <c r="D19" s="275">
        <v>0.10439484985488205</v>
      </c>
      <c r="E19" s="275">
        <v>4.1281803674458308E-2</v>
      </c>
      <c r="F19" s="275">
        <v>3.3993078321818749E-3</v>
      </c>
      <c r="G19" s="275">
        <v>-8.8386211793668873E-3</v>
      </c>
      <c r="H19" s="274"/>
      <c r="J19" s="258"/>
      <c r="K19" s="258"/>
      <c r="L19" s="258"/>
      <c r="M19" s="258"/>
    </row>
    <row r="20" spans="1:13" x14ac:dyDescent="0.25">
      <c r="A20" s="252"/>
      <c r="B20" s="252"/>
      <c r="C20" s="252"/>
      <c r="D20" s="22"/>
      <c r="E20" s="22"/>
      <c r="F20" s="22"/>
      <c r="G20" s="257"/>
      <c r="H20" s="258"/>
      <c r="J20" s="258"/>
      <c r="K20" s="258"/>
      <c r="L20" s="258"/>
      <c r="M20" s="258"/>
    </row>
    <row r="21" spans="1:13" x14ac:dyDescent="0.25">
      <c r="A21" t="s">
        <v>781</v>
      </c>
      <c r="B21" s="252"/>
      <c r="C21" s="252"/>
      <c r="D21" s="22"/>
      <c r="E21" s="22"/>
      <c r="F21" s="22"/>
      <c r="G21" s="257"/>
      <c r="H21" s="258"/>
      <c r="J21" s="258"/>
      <c r="K21" s="258"/>
      <c r="L21" s="258"/>
      <c r="M21" s="258"/>
    </row>
    <row r="22" spans="1:13" x14ac:dyDescent="0.25">
      <c r="A22" s="8" t="s">
        <v>792</v>
      </c>
      <c r="B22" s="252"/>
      <c r="C22" s="252"/>
      <c r="D22" s="22"/>
      <c r="E22" s="22"/>
      <c r="F22" s="22"/>
      <c r="G22" s="257"/>
      <c r="H22" s="258"/>
      <c r="J22" s="258"/>
      <c r="K22" s="258"/>
      <c r="L22" s="258"/>
      <c r="M22" s="258"/>
    </row>
    <row r="23" spans="1:13" x14ac:dyDescent="0.25">
      <c r="B23" s="252"/>
      <c r="C23" s="252"/>
      <c r="D23" s="252"/>
      <c r="E23" s="22"/>
      <c r="F23" s="22"/>
      <c r="G23" s="22"/>
      <c r="H23" s="257"/>
      <c r="I23" s="258"/>
      <c r="J23" s="258"/>
      <c r="K23" s="258"/>
      <c r="L23" s="258"/>
      <c r="M23" s="258"/>
    </row>
    <row r="24" spans="1:13" x14ac:dyDescent="0.25">
      <c r="B24" s="252"/>
      <c r="C24" s="252"/>
      <c r="D24" s="252"/>
      <c r="E24" s="22"/>
      <c r="F24" s="22"/>
      <c r="G24" s="22"/>
      <c r="H24" s="257"/>
      <c r="I24" s="258"/>
      <c r="J24" s="258"/>
      <c r="K24" s="258"/>
      <c r="L24" s="258"/>
      <c r="M24" s="258"/>
    </row>
    <row r="25" spans="1:13" x14ac:dyDescent="0.25">
      <c r="B25" s="252"/>
      <c r="C25" s="252"/>
      <c r="D25" s="252"/>
      <c r="E25" s="22"/>
      <c r="F25" s="22"/>
      <c r="G25" s="22"/>
      <c r="H25" s="257"/>
      <c r="I25" s="258"/>
      <c r="J25" s="258"/>
      <c r="K25" s="258"/>
      <c r="L25" s="258"/>
      <c r="M25" s="258"/>
    </row>
    <row r="26" spans="1:13" x14ac:dyDescent="0.25">
      <c r="B26" s="252"/>
      <c r="C26" s="252"/>
      <c r="D26" s="252"/>
      <c r="E26" s="22"/>
      <c r="F26" s="22"/>
      <c r="G26" s="22"/>
      <c r="H26" s="257"/>
      <c r="I26" s="258"/>
      <c r="J26" s="258"/>
      <c r="K26" s="258"/>
      <c r="L26" s="258"/>
      <c r="M26" s="258"/>
    </row>
    <row r="27" spans="1:13" x14ac:dyDescent="0.25">
      <c r="B27" s="252"/>
      <c r="C27" s="252"/>
      <c r="D27" s="252"/>
      <c r="E27" s="22"/>
      <c r="F27" s="22"/>
      <c r="G27" s="22"/>
      <c r="H27" s="257"/>
      <c r="I27" s="258"/>
      <c r="J27" s="258"/>
      <c r="K27" s="258"/>
      <c r="L27" s="258"/>
      <c r="M27" s="258"/>
    </row>
    <row r="28" spans="1:13" x14ac:dyDescent="0.25">
      <c r="B28" s="252"/>
      <c r="C28" s="252"/>
      <c r="D28" s="252"/>
      <c r="E28" s="22"/>
      <c r="F28" s="22"/>
      <c r="G28" s="22"/>
      <c r="H28" s="257"/>
      <c r="I28" s="258"/>
      <c r="J28" s="258"/>
      <c r="K28" s="258"/>
      <c r="L28" s="258"/>
      <c r="M28" s="258"/>
    </row>
    <row r="29" spans="1:13" ht="5.45" customHeight="1" x14ac:dyDescent="0.25">
      <c r="B29" s="252"/>
      <c r="C29" s="252"/>
      <c r="D29" s="252"/>
      <c r="E29" s="22"/>
      <c r="F29" s="22"/>
      <c r="G29" s="22"/>
      <c r="H29" s="257"/>
      <c r="I29" s="258"/>
      <c r="J29" s="258"/>
      <c r="K29" s="258"/>
      <c r="L29" s="258"/>
      <c r="M29" s="258"/>
    </row>
    <row r="31" spans="1:13" ht="6" customHeight="1" x14ac:dyDescent="0.25"/>
    <row r="32" spans="1:13" x14ac:dyDescent="0.25">
      <c r="B32" s="8"/>
      <c r="C32" s="8"/>
      <c r="D32" s="8"/>
    </row>
    <row r="34" spans="2:4" x14ac:dyDescent="0.25">
      <c r="B34" s="8"/>
      <c r="C34" s="8"/>
      <c r="D34" s="8"/>
    </row>
  </sheetData>
  <mergeCells count="2">
    <mergeCell ref="C13:G13"/>
    <mergeCell ref="C14:G14"/>
  </mergeCells>
  <hyperlinks>
    <hyperlink ref="A5" location="Índice!A1" display="Índice/Contents" xr:uid="{D2BF645D-A2FA-450D-ADAE-D89A0778EBD9}"/>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C21B-0FFF-4370-B078-E4071E2D8D4D}">
  <sheetPr codeName="Sheet13"/>
  <dimension ref="A5:G57"/>
  <sheetViews>
    <sheetView showGridLines="0" topLeftCell="A3" zoomScaleNormal="100" workbookViewId="0">
      <selection activeCell="A30" sqref="A1:XFD1048576"/>
    </sheetView>
  </sheetViews>
  <sheetFormatPr defaultRowHeight="15" x14ac:dyDescent="0.25"/>
  <cols>
    <col min="1" max="2" width="13.42578125" customWidth="1"/>
    <col min="3" max="7" width="17.140625" customWidth="1"/>
    <col min="8" max="8" width="18.42578125" customWidth="1"/>
  </cols>
  <sheetData>
    <row r="5" spans="1:7" x14ac:dyDescent="0.25">
      <c r="A5" s="10" t="s">
        <v>3</v>
      </c>
      <c r="B5" s="10"/>
      <c r="C5" s="10"/>
    </row>
    <row r="6" spans="1:7" ht="18.75" x14ac:dyDescent="0.25">
      <c r="A6" s="6" t="s">
        <v>179</v>
      </c>
      <c r="B6" s="6"/>
      <c r="C6" s="6"/>
    </row>
    <row r="7" spans="1:7" ht="18.75" x14ac:dyDescent="0.25">
      <c r="A7" s="78" t="str">
        <f>+Índice!$A$41</f>
        <v>Caixa 3 - A transmissão do preço dos bens energéticos ao IHPC / Box 3- The pass-through of energy prices to the HICP</v>
      </c>
      <c r="B7" s="6"/>
      <c r="C7" s="6"/>
    </row>
    <row r="8" spans="1:7" ht="18.75" x14ac:dyDescent="0.25">
      <c r="A8" s="6"/>
      <c r="B8" s="6"/>
      <c r="C8" s="6"/>
    </row>
    <row r="9" spans="1:7" x14ac:dyDescent="0.25">
      <c r="A9" s="7"/>
      <c r="B9" s="7"/>
      <c r="C9" s="7"/>
    </row>
    <row r="10" spans="1:7" x14ac:dyDescent="0.25">
      <c r="A10" t="s">
        <v>915</v>
      </c>
    </row>
    <row r="11" spans="1:7" x14ac:dyDescent="0.25">
      <c r="A11" s="8" t="s">
        <v>1578</v>
      </c>
    </row>
    <row r="13" spans="1:7" x14ac:dyDescent="0.25">
      <c r="A13" s="9" t="s">
        <v>2</v>
      </c>
      <c r="C13" s="281" t="s">
        <v>730</v>
      </c>
      <c r="D13" s="281" t="s">
        <v>730</v>
      </c>
      <c r="E13" s="281" t="s">
        <v>730</v>
      </c>
      <c r="F13" s="281" t="s">
        <v>730</v>
      </c>
      <c r="G13" s="281" t="s">
        <v>4</v>
      </c>
    </row>
    <row r="14" spans="1:7" ht="48.95" customHeight="1" x14ac:dyDescent="0.25">
      <c r="A14" s="253"/>
      <c r="B14" s="253"/>
      <c r="C14" s="266" t="s">
        <v>734</v>
      </c>
      <c r="D14" s="268" t="s">
        <v>735</v>
      </c>
      <c r="E14" s="268" t="s">
        <v>736</v>
      </c>
      <c r="F14" s="266" t="s">
        <v>737</v>
      </c>
      <c r="G14" s="266" t="s">
        <v>916</v>
      </c>
    </row>
    <row r="15" spans="1:7" ht="48.95" customHeight="1" x14ac:dyDescent="0.25">
      <c r="A15" s="253"/>
      <c r="B15" s="253"/>
      <c r="C15" s="269" t="s">
        <v>738</v>
      </c>
      <c r="D15" s="267" t="s">
        <v>739</v>
      </c>
      <c r="E15" s="267" t="s">
        <v>740</v>
      </c>
      <c r="F15" s="269" t="s">
        <v>741</v>
      </c>
      <c r="G15" s="269" t="s">
        <v>917</v>
      </c>
    </row>
    <row r="16" spans="1:7" x14ac:dyDescent="0.25">
      <c r="A16" s="284" t="s">
        <v>742</v>
      </c>
      <c r="B16" s="285" t="s">
        <v>793</v>
      </c>
      <c r="C16" s="286">
        <v>-9.0237696700182182E-2</v>
      </c>
      <c r="D16" s="286">
        <v>-0.45989773961715807</v>
      </c>
      <c r="E16" s="286">
        <v>-0.29020764904034746</v>
      </c>
      <c r="F16" s="286">
        <v>1.0255824340951563</v>
      </c>
      <c r="G16" s="286">
        <v>0.18523934873746839</v>
      </c>
    </row>
    <row r="17" spans="1:7" x14ac:dyDescent="0.25">
      <c r="A17" s="284" t="s">
        <v>743</v>
      </c>
      <c r="B17" s="285" t="s">
        <v>794</v>
      </c>
      <c r="C17" s="286">
        <v>2.5972759048035494E-3</v>
      </c>
      <c r="D17" s="286">
        <v>-0.40774537766871272</v>
      </c>
      <c r="E17" s="286">
        <v>-0.2649442674916328</v>
      </c>
      <c r="F17" s="286">
        <v>0.94462908854175953</v>
      </c>
      <c r="G17" s="286">
        <v>0.27453671928621759</v>
      </c>
    </row>
    <row r="18" spans="1:7" x14ac:dyDescent="0.25">
      <c r="A18" s="284" t="s">
        <v>744</v>
      </c>
      <c r="B18" s="285" t="s">
        <v>795</v>
      </c>
      <c r="C18" s="286">
        <v>0.39266981222057667</v>
      </c>
      <c r="D18" s="286">
        <v>-0.3031281262573215</v>
      </c>
      <c r="E18" s="286">
        <v>-0.22575532883420607</v>
      </c>
      <c r="F18" s="286">
        <v>0.26161154004466353</v>
      </c>
      <c r="G18" s="286">
        <v>0.12539789717371264</v>
      </c>
    </row>
    <row r="19" spans="1:7" x14ac:dyDescent="0.25">
      <c r="A19" s="284" t="s">
        <v>745</v>
      </c>
      <c r="B19" s="285" t="s">
        <v>796</v>
      </c>
      <c r="C19" s="286">
        <v>0.78702770218115492</v>
      </c>
      <c r="D19" s="286">
        <v>-0.17663807716627525</v>
      </c>
      <c r="E19" s="286">
        <v>-0.16280776829146473</v>
      </c>
      <c r="F19" s="286">
        <v>-0.54331227985187314</v>
      </c>
      <c r="G19" s="286">
        <v>-9.5730423128458142E-2</v>
      </c>
    </row>
    <row r="20" spans="1:7" x14ac:dyDescent="0.25">
      <c r="A20" s="284" t="s">
        <v>746</v>
      </c>
      <c r="B20" s="285" t="s">
        <v>797</v>
      </c>
      <c r="C20" s="286">
        <v>0.81920839893862696</v>
      </c>
      <c r="D20" s="286">
        <v>-6.1337229799904129E-2</v>
      </c>
      <c r="E20" s="286">
        <v>-9.0329771880879539E-2</v>
      </c>
      <c r="F20" s="286">
        <v>-0.18769494812156828</v>
      </c>
      <c r="G20" s="286">
        <v>0.47984644913627506</v>
      </c>
    </row>
    <row r="21" spans="1:7" x14ac:dyDescent="0.25">
      <c r="A21" s="284" t="s">
        <v>747</v>
      </c>
      <c r="B21" s="285" t="s">
        <v>798</v>
      </c>
      <c r="C21" s="286">
        <v>0.64175071828896046</v>
      </c>
      <c r="D21" s="286">
        <v>2.1339373761274524E-2</v>
      </c>
      <c r="E21" s="286">
        <v>-2.6117796379843048E-2</v>
      </c>
      <c r="F21" s="286">
        <v>-1.1962140018315375</v>
      </c>
      <c r="G21" s="286">
        <v>-0.55924170616114566</v>
      </c>
    </row>
    <row r="22" spans="1:7" x14ac:dyDescent="0.25">
      <c r="A22" s="284" t="s">
        <v>748</v>
      </c>
      <c r="B22" s="285" t="s">
        <v>799</v>
      </c>
      <c r="C22" s="286">
        <v>0.57616050490908988</v>
      </c>
      <c r="D22" s="286">
        <v>0.10978408019716757</v>
      </c>
      <c r="E22" s="286">
        <v>3.2439731299855876E-2</v>
      </c>
      <c r="F22" s="286">
        <v>0.39401653482235843</v>
      </c>
      <c r="G22" s="286">
        <v>1.1124008512284718</v>
      </c>
    </row>
    <row r="23" spans="1:7" x14ac:dyDescent="0.25">
      <c r="A23" s="284" t="s">
        <v>749</v>
      </c>
      <c r="B23" s="285" t="s">
        <v>800</v>
      </c>
      <c r="C23" s="286">
        <v>0.62014074005355868</v>
      </c>
      <c r="D23" s="286">
        <v>0.19865508596269257</v>
      </c>
      <c r="E23" s="286">
        <v>8.9617461408578972E-2</v>
      </c>
      <c r="F23" s="286">
        <v>0.34255645656273781</v>
      </c>
      <c r="G23" s="286">
        <v>1.250969743987568</v>
      </c>
    </row>
    <row r="24" spans="1:7" x14ac:dyDescent="0.25">
      <c r="A24" s="284" t="s">
        <v>750</v>
      </c>
      <c r="B24" s="285" t="s">
        <v>801</v>
      </c>
      <c r="C24" s="286">
        <v>0.68832142663945917</v>
      </c>
      <c r="D24" s="286">
        <v>0.28761132419338165</v>
      </c>
      <c r="E24" s="286">
        <v>0.14607453301985779</v>
      </c>
      <c r="F24" s="286">
        <v>0.19631450213652801</v>
      </c>
      <c r="G24" s="286">
        <v>1.3183217859892267</v>
      </c>
    </row>
    <row r="25" spans="1:7" x14ac:dyDescent="0.25">
      <c r="A25" s="284" t="s">
        <v>751</v>
      </c>
      <c r="B25" s="285" t="s">
        <v>802</v>
      </c>
      <c r="C25" s="286">
        <v>0.8418705930724576</v>
      </c>
      <c r="D25" s="286">
        <v>0.3901622914557597</v>
      </c>
      <c r="E25" s="286">
        <v>0.20505111423289935</v>
      </c>
      <c r="F25" s="286">
        <v>0.38372524979380618</v>
      </c>
      <c r="G25" s="286">
        <v>1.820809248554923</v>
      </c>
    </row>
    <row r="26" spans="1:7" x14ac:dyDescent="0.25">
      <c r="A26" s="284" t="s">
        <v>752</v>
      </c>
      <c r="B26" s="285" t="s">
        <v>803</v>
      </c>
      <c r="C26" s="286">
        <v>0.81880031233641815</v>
      </c>
      <c r="D26" s="286">
        <v>0.46414629308222749</v>
      </c>
      <c r="E26" s="286">
        <v>0.26633461332165637</v>
      </c>
      <c r="F26" s="286">
        <v>1.0853565185708218</v>
      </c>
      <c r="G26" s="286">
        <v>2.6346377373111238</v>
      </c>
    </row>
    <row r="27" spans="1:7" x14ac:dyDescent="0.25">
      <c r="A27" s="284" t="s">
        <v>753</v>
      </c>
      <c r="B27" s="285" t="s">
        <v>804</v>
      </c>
      <c r="C27" s="286">
        <v>0.50395050617468007</v>
      </c>
      <c r="D27" s="286">
        <v>0.48596915979500854</v>
      </c>
      <c r="E27" s="286">
        <v>0.30931050316468017</v>
      </c>
      <c r="F27" s="286">
        <v>1.4844749715057968</v>
      </c>
      <c r="G27" s="286">
        <v>2.7837051406401656</v>
      </c>
    </row>
    <row r="28" spans="1:7" x14ac:dyDescent="0.25">
      <c r="A28" s="284" t="s">
        <v>754</v>
      </c>
      <c r="B28" s="285" t="s">
        <v>805</v>
      </c>
      <c r="C28" s="286">
        <v>0.54977190309859514</v>
      </c>
      <c r="D28" s="286">
        <v>0.52324370002025855</v>
      </c>
      <c r="E28" s="286">
        <v>0.35054332090592122</v>
      </c>
      <c r="F28" s="286">
        <v>1.9727042133827692</v>
      </c>
      <c r="G28" s="286">
        <v>3.3962631374075443</v>
      </c>
    </row>
    <row r="29" spans="1:7" x14ac:dyDescent="0.25">
      <c r="A29" s="284" t="s">
        <v>755</v>
      </c>
      <c r="B29" s="285" t="s">
        <v>806</v>
      </c>
      <c r="C29" s="286">
        <v>0.77236444115444336</v>
      </c>
      <c r="D29" s="286">
        <v>0.60079102090807324</v>
      </c>
      <c r="E29" s="286">
        <v>0.39468018268466343</v>
      </c>
      <c r="F29" s="286">
        <v>2.6029475761387033</v>
      </c>
      <c r="G29" s="286">
        <v>4.3707832208858832</v>
      </c>
    </row>
    <row r="30" spans="1:7" x14ac:dyDescent="0.25">
      <c r="A30" s="284" t="s">
        <v>756</v>
      </c>
      <c r="B30" s="285" t="s">
        <v>807</v>
      </c>
      <c r="C30" s="286">
        <v>1.1210978751749572</v>
      </c>
      <c r="D30" s="286">
        <v>0.69969303215100509</v>
      </c>
      <c r="E30" s="286">
        <v>0.45025554468452639</v>
      </c>
      <c r="F30" s="286">
        <v>3.2106491163902779</v>
      </c>
      <c r="G30" s="286">
        <v>5.4816955684007667</v>
      </c>
    </row>
    <row r="31" spans="1:7" x14ac:dyDescent="0.25">
      <c r="A31" s="284" t="s">
        <v>757</v>
      </c>
      <c r="B31" s="285" t="s">
        <v>808</v>
      </c>
      <c r="C31" s="286">
        <v>1.6291520575252054</v>
      </c>
      <c r="D31" s="286">
        <v>0.84336723985151407</v>
      </c>
      <c r="E31" s="286">
        <v>0.52814022859937126</v>
      </c>
      <c r="F31" s="286">
        <v>4.3872285537479447</v>
      </c>
      <c r="G31" s="286">
        <v>7.3878880797240356</v>
      </c>
    </row>
    <row r="32" spans="1:7" x14ac:dyDescent="0.25">
      <c r="A32" s="284" t="s">
        <v>758</v>
      </c>
      <c r="B32" s="285" t="s">
        <v>809</v>
      </c>
      <c r="C32" s="286">
        <v>1.619730704205995</v>
      </c>
      <c r="D32" s="286">
        <v>0.94473200461985751</v>
      </c>
      <c r="E32" s="286">
        <v>0.60314935825709548</v>
      </c>
      <c r="F32" s="286">
        <v>4.9221682576543992</v>
      </c>
      <c r="G32" s="286">
        <v>8.0897803247373474</v>
      </c>
    </row>
    <row r="33" spans="1:7" x14ac:dyDescent="0.25">
      <c r="A33" s="284" t="s">
        <v>759</v>
      </c>
      <c r="B33" s="285" t="s">
        <v>810</v>
      </c>
      <c r="C33" s="286">
        <v>1.9650378873602401</v>
      </c>
      <c r="D33" s="286">
        <v>1.1059899054230653</v>
      </c>
      <c r="E33" s="286">
        <v>0.69220225108674371</v>
      </c>
      <c r="F33" s="286">
        <v>5.2540228395538442</v>
      </c>
      <c r="G33" s="286">
        <v>9.0172528834238932</v>
      </c>
    </row>
    <row r="34" spans="1:7" x14ac:dyDescent="0.25">
      <c r="A34" s="284" t="s">
        <v>760</v>
      </c>
      <c r="B34" s="285" t="s">
        <v>811</v>
      </c>
      <c r="C34" s="286">
        <v>1.9579938535846879</v>
      </c>
      <c r="D34" s="286">
        <v>1.2329911676695813</v>
      </c>
      <c r="E34" s="286">
        <v>0.779772881586274</v>
      </c>
      <c r="F34" s="286">
        <v>5.4619408439307229</v>
      </c>
      <c r="G34" s="286">
        <v>9.4326987467712655</v>
      </c>
    </row>
    <row r="35" spans="1:7" x14ac:dyDescent="0.25">
      <c r="A35" s="284" t="s">
        <v>761</v>
      </c>
      <c r="B35" s="285" t="s">
        <v>812</v>
      </c>
      <c r="C35" s="286">
        <v>1.4408556102035679</v>
      </c>
      <c r="D35" s="286">
        <v>1.2768245048821327</v>
      </c>
      <c r="E35" s="286">
        <v>0.83743746928566243</v>
      </c>
      <c r="F35" s="286">
        <v>5.7926460398025732</v>
      </c>
      <c r="G35" s="286">
        <v>9.3477636241739361</v>
      </c>
    </row>
    <row r="36" spans="1:7" x14ac:dyDescent="0.25">
      <c r="A36" s="284" t="s">
        <v>762</v>
      </c>
      <c r="B36" s="285" t="s">
        <v>813</v>
      </c>
      <c r="C36" s="286">
        <v>1.3662099444923144</v>
      </c>
      <c r="D36" s="286">
        <v>1.3499319757952795</v>
      </c>
      <c r="E36" s="286">
        <v>0.88117255402727868</v>
      </c>
      <c r="F36" s="286">
        <v>6.2136837211452853</v>
      </c>
      <c r="G36" s="286">
        <v>9.8109981954601579</v>
      </c>
    </row>
    <row r="37" spans="1:7" x14ac:dyDescent="0.25">
      <c r="A37" s="284" t="s">
        <v>763</v>
      </c>
      <c r="B37" s="285" t="s">
        <v>814</v>
      </c>
      <c r="C37" s="286">
        <v>1.8586548061526884</v>
      </c>
      <c r="D37" s="286">
        <v>1.48884382797173</v>
      </c>
      <c r="E37" s="286">
        <v>0.94107542086138785</v>
      </c>
      <c r="F37" s="286">
        <v>6.2800700929941318</v>
      </c>
      <c r="G37" s="286">
        <v>10.568644147979938</v>
      </c>
    </row>
    <row r="38" spans="1:7" x14ac:dyDescent="0.25">
      <c r="A38" s="284" t="s">
        <v>764</v>
      </c>
      <c r="B38" s="285" t="s">
        <v>815</v>
      </c>
      <c r="C38" s="286">
        <v>1.680871105914594</v>
      </c>
      <c r="D38" s="286">
        <v>1.5420727162980745</v>
      </c>
      <c r="E38" s="286">
        <v>0.98968076867529597</v>
      </c>
      <c r="F38" s="286">
        <v>6.0365260319886058</v>
      </c>
      <c r="G38" s="286">
        <v>10.24915062287657</v>
      </c>
    </row>
    <row r="39" spans="1:7" x14ac:dyDescent="0.25">
      <c r="A39" s="284" t="s">
        <v>765</v>
      </c>
      <c r="B39" s="285" t="s">
        <v>816</v>
      </c>
      <c r="C39" s="286">
        <v>1.4097976715376113</v>
      </c>
      <c r="D39" s="286">
        <v>1.5708264054011178</v>
      </c>
      <c r="E39" s="286">
        <v>1.0262378912408194</v>
      </c>
      <c r="F39" s="286">
        <v>5.7977997285270693</v>
      </c>
      <c r="G39" s="286">
        <v>9.8046616967066171</v>
      </c>
    </row>
    <row r="40" spans="1:7" x14ac:dyDescent="0.25">
      <c r="A40" s="284" t="s">
        <v>766</v>
      </c>
      <c r="B40" s="285" t="s">
        <v>817</v>
      </c>
      <c r="C40" s="286">
        <v>0.38171792791244791</v>
      </c>
      <c r="D40" s="286">
        <v>1.3610496400275858</v>
      </c>
      <c r="E40" s="286">
        <v>1.0312154050049887</v>
      </c>
      <c r="F40" s="286">
        <v>5.8754287917608661</v>
      </c>
      <c r="G40" s="286">
        <v>8.6494117647058886</v>
      </c>
    </row>
    <row r="41" spans="1:7" x14ac:dyDescent="0.25">
      <c r="A41" s="284" t="s">
        <v>767</v>
      </c>
      <c r="B41" s="285" t="s">
        <v>818</v>
      </c>
      <c r="C41" s="286">
        <v>2.3613120926378003E-2</v>
      </c>
      <c r="D41" s="286">
        <v>1.2762163404077909</v>
      </c>
      <c r="E41" s="286">
        <v>0.9891062696013182</v>
      </c>
      <c r="F41" s="286">
        <v>6.2832958598458699</v>
      </c>
      <c r="G41" s="286">
        <v>8.5722315907813567</v>
      </c>
    </row>
    <row r="42" spans="1:7" x14ac:dyDescent="0.25">
      <c r="A42" s="284" t="s">
        <v>768</v>
      </c>
      <c r="B42" s="285" t="s">
        <v>819</v>
      </c>
      <c r="C42" s="286">
        <v>-0.40767926639126684</v>
      </c>
      <c r="D42" s="286">
        <v>1.1290214838475421</v>
      </c>
      <c r="E42" s="286">
        <v>0.91462705884789541</v>
      </c>
      <c r="F42" s="286">
        <v>6.3373616214947033</v>
      </c>
      <c r="G42" s="286">
        <v>7.9733308977988742</v>
      </c>
    </row>
    <row r="43" spans="1:7" x14ac:dyDescent="0.25">
      <c r="A43" s="284" t="s">
        <v>769</v>
      </c>
      <c r="B43" s="285" t="s">
        <v>820</v>
      </c>
      <c r="C43" s="286">
        <v>-0.96806814309302702</v>
      </c>
      <c r="D43" s="286">
        <v>0.92376978606465876</v>
      </c>
      <c r="E43" s="286">
        <v>0.81134005538800846</v>
      </c>
      <c r="F43" s="286">
        <v>6.0858181213958824</v>
      </c>
      <c r="G43" s="286">
        <v>6.8528598197555226</v>
      </c>
    </row>
    <row r="44" spans="1:7" x14ac:dyDescent="0.25">
      <c r="A44" s="284" t="s">
        <v>770</v>
      </c>
      <c r="B44" s="285" t="s">
        <v>821</v>
      </c>
      <c r="C44" s="286">
        <v>-1.095295091512579</v>
      </c>
      <c r="D44" s="286">
        <v>0.73478912111862371</v>
      </c>
      <c r="E44" s="286">
        <v>0.68459373399537049</v>
      </c>
      <c r="F44" s="286">
        <v>5.0660332932157637</v>
      </c>
      <c r="G44" s="286">
        <v>5.3901210568171791</v>
      </c>
    </row>
    <row r="45" spans="1:7" x14ac:dyDescent="0.25">
      <c r="A45" s="284" t="s">
        <v>771</v>
      </c>
      <c r="B45" s="285" t="s">
        <v>822</v>
      </c>
      <c r="C45" s="286">
        <v>-1.3426713319076644</v>
      </c>
      <c r="D45" s="286">
        <v>0.50840860397606935</v>
      </c>
      <c r="E45" s="286">
        <v>0.54940148090348628</v>
      </c>
      <c r="F45" s="286">
        <v>5.0238662308525379</v>
      </c>
      <c r="G45" s="286">
        <v>4.7390049838244295</v>
      </c>
    </row>
    <row r="46" spans="1:7" x14ac:dyDescent="0.25">
      <c r="A46" s="284" t="s">
        <v>772</v>
      </c>
      <c r="B46" s="285" t="s">
        <v>823</v>
      </c>
      <c r="C46" s="286">
        <v>-1.0765253309417666</v>
      </c>
      <c r="D46" s="286">
        <v>0.34957810430734482</v>
      </c>
      <c r="E46" s="286">
        <v>0.41741954979898327</v>
      </c>
      <c r="F46" s="286">
        <v>4.6280869914608278</v>
      </c>
      <c r="G46" s="286">
        <v>4.3185593146253893</v>
      </c>
    </row>
    <row r="47" spans="1:7" x14ac:dyDescent="0.25">
      <c r="A47" s="284" t="s">
        <v>773</v>
      </c>
      <c r="B47" s="285" t="s">
        <v>824</v>
      </c>
      <c r="C47" s="286">
        <v>-0.45213496132943715</v>
      </c>
      <c r="D47" s="286">
        <v>0.25619966157878166</v>
      </c>
      <c r="E47" s="286">
        <v>0.30803433076574904</v>
      </c>
      <c r="F47" s="286">
        <v>5.2045340599895393</v>
      </c>
      <c r="G47" s="286">
        <v>5.3166330910046327</v>
      </c>
    </row>
    <row r="48" spans="1:7" x14ac:dyDescent="0.25">
      <c r="A48" s="284" t="s">
        <v>774</v>
      </c>
      <c r="B48" s="285" t="s">
        <v>825</v>
      </c>
      <c r="C48" s="286">
        <v>-0.32914588117518873</v>
      </c>
      <c r="D48" s="286">
        <v>0.14682854742765919</v>
      </c>
      <c r="E48" s="286">
        <v>0.22232068315077189</v>
      </c>
      <c r="F48" s="286">
        <v>4.7688532498010474</v>
      </c>
      <c r="G48" s="286">
        <v>4.8088565992042902</v>
      </c>
    </row>
    <row r="49" spans="1:7" x14ac:dyDescent="0.25">
      <c r="A49" s="284" t="s">
        <v>775</v>
      </c>
      <c r="B49" s="285" t="s">
        <v>826</v>
      </c>
      <c r="C49" s="286">
        <v>-1.0484842048242999</v>
      </c>
      <c r="D49" s="286">
        <v>-5.9363709052288632E-2</v>
      </c>
      <c r="E49" s="286">
        <v>0.11463396108603036</v>
      </c>
      <c r="F49" s="286">
        <v>4.2364109406392778</v>
      </c>
      <c r="G49" s="286">
        <v>3.2431969878487195</v>
      </c>
    </row>
    <row r="50" spans="1:7" x14ac:dyDescent="0.25">
      <c r="A50" s="284" t="s">
        <v>776</v>
      </c>
      <c r="B50" s="285" t="s">
        <v>827</v>
      </c>
      <c r="C50" s="286">
        <v>-1.1420100092105974</v>
      </c>
      <c r="D50" s="286">
        <v>-0.204338998613005</v>
      </c>
      <c r="E50" s="286">
        <v>-3.7417401070659255E-3</v>
      </c>
      <c r="F50" s="286">
        <v>3.5500565072184749</v>
      </c>
      <c r="G50" s="286">
        <v>2.1999657592878066</v>
      </c>
    </row>
    <row r="51" spans="1:7" x14ac:dyDescent="0.25">
      <c r="A51" s="284" t="s">
        <v>777</v>
      </c>
      <c r="B51" s="285" t="s">
        <v>828</v>
      </c>
      <c r="C51" s="286">
        <v>-1.0386474173706968</v>
      </c>
      <c r="D51" s="286">
        <v>-0.31909613343921639</v>
      </c>
      <c r="E51" s="286">
        <v>-0.12116208431471565</v>
      </c>
      <c r="F51" s="286">
        <v>3.369589719002259</v>
      </c>
      <c r="G51" s="286">
        <v>1.8906840838776304</v>
      </c>
    </row>
    <row r="52" spans="1:7" x14ac:dyDescent="0.25">
      <c r="A52" s="284" t="s">
        <v>778</v>
      </c>
      <c r="B52" s="285" t="s">
        <v>829</v>
      </c>
      <c r="C52" s="286">
        <v>-0.2402121776751405</v>
      </c>
      <c r="D52" s="286">
        <v>-0.33091742876483016</v>
      </c>
      <c r="E52" s="286">
        <v>-0.20922303846761514</v>
      </c>
      <c r="F52" s="286">
        <v>3.3098051743601271</v>
      </c>
      <c r="G52" s="286">
        <v>2.5294525294525414</v>
      </c>
    </row>
    <row r="53" spans="1:7" x14ac:dyDescent="0.25">
      <c r="A53" s="284" t="s">
        <v>779</v>
      </c>
      <c r="B53" s="285" t="s">
        <v>830</v>
      </c>
      <c r="C53" s="286">
        <v>7.2658042677127332E-2</v>
      </c>
      <c r="D53" s="286">
        <v>-0.34393104427298921</v>
      </c>
      <c r="E53" s="286">
        <v>-0.26077115789621996</v>
      </c>
      <c r="F53" s="286">
        <v>2.8186952941887933</v>
      </c>
      <c r="G53" s="286">
        <v>2.2866511346967116</v>
      </c>
    </row>
    <row r="54" spans="1:7" x14ac:dyDescent="0.25">
      <c r="A54" s="284" t="s">
        <v>780</v>
      </c>
      <c r="B54" s="285" t="s">
        <v>831</v>
      </c>
      <c r="C54" s="286">
        <v>6.6910865492330052E-2</v>
      </c>
      <c r="D54" s="286">
        <v>-0.36642770899888366</v>
      </c>
      <c r="E54" s="286">
        <v>-0.28766630977965385</v>
      </c>
      <c r="F54" s="286">
        <v>3.1586600607468709</v>
      </c>
      <c r="G54" s="286">
        <v>2.5714769074606636</v>
      </c>
    </row>
    <row r="56" spans="1:7" x14ac:dyDescent="0.25">
      <c r="A56" t="s">
        <v>782</v>
      </c>
    </row>
    <row r="57" spans="1:7" x14ac:dyDescent="0.25">
      <c r="A57" s="8" t="s">
        <v>791</v>
      </c>
    </row>
  </sheetData>
  <phoneticPr fontId="28" type="noConversion"/>
  <hyperlinks>
    <hyperlink ref="A5" location="Índice!A1" display="Índice/Contents" xr:uid="{095FE0A0-BE1A-4DDC-9E96-402289627DDD}"/>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B239-47AC-4ADE-B5BC-EC05A0FA026A}">
  <sheetPr codeName="Sheet14"/>
  <dimension ref="A5:H57"/>
  <sheetViews>
    <sheetView showGridLines="0" topLeftCell="A37" zoomScaleNormal="100" workbookViewId="0">
      <selection activeCell="A30" sqref="A1:XFD1048576"/>
    </sheetView>
  </sheetViews>
  <sheetFormatPr defaultRowHeight="15" x14ac:dyDescent="0.25"/>
  <cols>
    <col min="1" max="2" width="17.140625" customWidth="1"/>
    <col min="3" max="7" width="17.85546875" customWidth="1"/>
    <col min="8" max="8" width="18.42578125" customWidth="1"/>
  </cols>
  <sheetData>
    <row r="5" spans="1:7" x14ac:dyDescent="0.25">
      <c r="A5" s="10" t="s">
        <v>3</v>
      </c>
      <c r="B5" s="10"/>
      <c r="C5" s="10"/>
    </row>
    <row r="6" spans="1:7" ht="18.75" x14ac:dyDescent="0.25">
      <c r="A6" s="6" t="s">
        <v>179</v>
      </c>
      <c r="B6" s="6"/>
      <c r="C6" s="6"/>
    </row>
    <row r="7" spans="1:7" ht="18.75" x14ac:dyDescent="0.25">
      <c r="A7" s="78" t="str">
        <f>+Índice!$A$41</f>
        <v>Caixa 3 - A transmissão do preço dos bens energéticos ao IHPC / Box 3- The pass-through of energy prices to the HICP</v>
      </c>
      <c r="B7" s="6"/>
      <c r="C7" s="6"/>
    </row>
    <row r="8" spans="1:7" ht="18.75" x14ac:dyDescent="0.25">
      <c r="A8" s="6"/>
      <c r="B8" s="6"/>
      <c r="C8" s="6"/>
    </row>
    <row r="9" spans="1:7" x14ac:dyDescent="0.25">
      <c r="A9" s="7"/>
      <c r="B9" s="7"/>
      <c r="C9" s="7"/>
    </row>
    <row r="10" spans="1:7" x14ac:dyDescent="0.25">
      <c r="A10" t="s">
        <v>1217</v>
      </c>
    </row>
    <row r="11" spans="1:7" x14ac:dyDescent="0.25">
      <c r="A11" s="8" t="s">
        <v>1577</v>
      </c>
    </row>
    <row r="13" spans="1:7" x14ac:dyDescent="0.25">
      <c r="A13" s="9" t="s">
        <v>2</v>
      </c>
      <c r="C13" s="281" t="s">
        <v>730</v>
      </c>
      <c r="D13" s="281" t="s">
        <v>730</v>
      </c>
      <c r="E13" s="281" t="s">
        <v>730</v>
      </c>
      <c r="F13" s="281" t="s">
        <v>730</v>
      </c>
      <c r="G13" s="281" t="s">
        <v>4</v>
      </c>
    </row>
    <row r="14" spans="1:7" ht="39" customHeight="1" x14ac:dyDescent="0.25">
      <c r="A14" s="253"/>
      <c r="B14" s="253"/>
      <c r="C14" s="266" t="s">
        <v>734</v>
      </c>
      <c r="D14" s="268" t="s">
        <v>735</v>
      </c>
      <c r="E14" s="268" t="s">
        <v>736</v>
      </c>
      <c r="F14" s="266" t="s">
        <v>786</v>
      </c>
      <c r="G14" s="266" t="s">
        <v>790</v>
      </c>
    </row>
    <row r="15" spans="1:7" ht="39" customHeight="1" x14ac:dyDescent="0.25">
      <c r="A15" s="253"/>
      <c r="B15" s="253"/>
      <c r="C15" s="269" t="s">
        <v>738</v>
      </c>
      <c r="D15" s="267" t="s">
        <v>739</v>
      </c>
      <c r="E15" s="267" t="s">
        <v>740</v>
      </c>
      <c r="F15" s="269" t="s">
        <v>785</v>
      </c>
      <c r="G15" s="269" t="s">
        <v>789</v>
      </c>
    </row>
    <row r="16" spans="1:7" x14ac:dyDescent="0.25">
      <c r="A16" s="117">
        <v>2021</v>
      </c>
      <c r="B16" s="251">
        <v>2021</v>
      </c>
      <c r="C16" s="282">
        <v>0.550188357834967</v>
      </c>
      <c r="D16" s="282">
        <v>4.5743421494845025E-2</v>
      </c>
      <c r="E16" s="282">
        <v>-9.4455212257041343E-4</v>
      </c>
      <c r="F16" s="282">
        <v>0.59498722720724162</v>
      </c>
      <c r="G16" s="282">
        <v>0.94130898266222118</v>
      </c>
    </row>
    <row r="17" spans="1:8" x14ac:dyDescent="0.25">
      <c r="A17" s="117">
        <v>2022</v>
      </c>
      <c r="B17" s="251">
        <v>2022</v>
      </c>
      <c r="C17" s="282">
        <v>1.447628155033742</v>
      </c>
      <c r="D17" s="282">
        <v>1.0982756250826406</v>
      </c>
      <c r="E17" s="282">
        <v>0.70619565599125333</v>
      </c>
      <c r="F17" s="282">
        <v>3.2520994361076361</v>
      </c>
      <c r="G17" s="282">
        <v>8.1026581118239989</v>
      </c>
    </row>
    <row r="18" spans="1:8" x14ac:dyDescent="0.25">
      <c r="A18" s="117">
        <v>2023</v>
      </c>
      <c r="B18" s="251">
        <v>2023</v>
      </c>
      <c r="C18" s="282">
        <v>-0.70794421574314148</v>
      </c>
      <c r="D18" s="282">
        <v>0.50858853730429565</v>
      </c>
      <c r="E18" s="282">
        <v>0.49314905867673503</v>
      </c>
      <c r="F18" s="282">
        <v>0.2937933802378892</v>
      </c>
      <c r="G18" s="282">
        <v>5.2642832390825447</v>
      </c>
    </row>
    <row r="19" spans="1:8" x14ac:dyDescent="0.25">
      <c r="A19" s="117" t="s">
        <v>787</v>
      </c>
      <c r="B19" s="251" t="s">
        <v>788</v>
      </c>
      <c r="C19" s="282">
        <v>-3.3547756501894371E-2</v>
      </c>
      <c r="D19" s="282">
        <v>-0.34709206067890097</v>
      </c>
      <c r="E19" s="282">
        <v>-0.25255350204782961</v>
      </c>
      <c r="F19" s="282">
        <v>-0.63319331922862498</v>
      </c>
      <c r="G19" s="282">
        <v>2.4631669289086204</v>
      </c>
    </row>
    <row r="20" spans="1:8" x14ac:dyDescent="0.25">
      <c r="B20" s="270"/>
      <c r="C20" s="44"/>
      <c r="D20" s="271"/>
      <c r="E20" s="271"/>
      <c r="F20" s="271"/>
      <c r="G20" s="271"/>
      <c r="H20" s="271"/>
    </row>
    <row r="21" spans="1:8" x14ac:dyDescent="0.25">
      <c r="A21" t="s">
        <v>700</v>
      </c>
      <c r="B21" s="270"/>
      <c r="C21" s="44"/>
      <c r="D21" s="271"/>
      <c r="E21" s="271"/>
      <c r="F21" s="271"/>
      <c r="G21" s="271"/>
      <c r="H21" s="271"/>
    </row>
    <row r="22" spans="1:8" x14ac:dyDescent="0.25">
      <c r="A22" s="8" t="s">
        <v>701</v>
      </c>
      <c r="B22" s="270"/>
      <c r="C22" s="44"/>
      <c r="D22" s="271"/>
      <c r="E22" s="271"/>
      <c r="F22" s="271"/>
      <c r="G22" s="271"/>
      <c r="H22" s="271"/>
    </row>
    <row r="23" spans="1:8" x14ac:dyDescent="0.25">
      <c r="B23" s="270"/>
      <c r="C23" s="44"/>
      <c r="D23" s="271"/>
      <c r="E23" s="271"/>
      <c r="F23" s="271"/>
      <c r="G23" s="271"/>
      <c r="H23" s="271"/>
    </row>
    <row r="24" spans="1:8" x14ac:dyDescent="0.25">
      <c r="B24" s="270"/>
      <c r="C24" s="44"/>
      <c r="D24" s="271"/>
      <c r="E24" s="271"/>
      <c r="F24" s="271"/>
      <c r="G24" s="271"/>
      <c r="H24" s="271"/>
    </row>
    <row r="25" spans="1:8" x14ac:dyDescent="0.25">
      <c r="B25" s="270"/>
      <c r="C25" s="44"/>
      <c r="D25" s="271"/>
      <c r="E25" s="271"/>
      <c r="F25" s="271"/>
      <c r="G25" s="271"/>
      <c r="H25" s="271"/>
    </row>
    <row r="26" spans="1:8" x14ac:dyDescent="0.25">
      <c r="B26" s="270"/>
      <c r="C26" s="44"/>
      <c r="D26" s="271"/>
      <c r="E26" s="271"/>
      <c r="F26" s="271"/>
      <c r="G26" s="271"/>
      <c r="H26" s="271"/>
    </row>
    <row r="27" spans="1:8" x14ac:dyDescent="0.25">
      <c r="B27" s="270"/>
      <c r="C27" s="44"/>
      <c r="D27" s="271"/>
      <c r="E27" s="271"/>
      <c r="F27" s="271"/>
      <c r="G27" s="271"/>
      <c r="H27" s="271"/>
    </row>
    <row r="28" spans="1:8" x14ac:dyDescent="0.25">
      <c r="B28" s="270"/>
      <c r="C28" s="44"/>
      <c r="D28" s="271"/>
      <c r="E28" s="271"/>
      <c r="F28" s="271"/>
      <c r="G28" s="271"/>
      <c r="H28" s="271"/>
    </row>
    <row r="29" spans="1:8" x14ac:dyDescent="0.25">
      <c r="B29" s="270"/>
      <c r="C29" s="44"/>
      <c r="D29" s="271"/>
      <c r="E29" s="271"/>
      <c r="F29" s="271"/>
      <c r="G29" s="271"/>
      <c r="H29" s="271"/>
    </row>
    <row r="30" spans="1:8" x14ac:dyDescent="0.25">
      <c r="B30" s="270"/>
      <c r="C30" s="44"/>
      <c r="D30" s="271"/>
      <c r="E30" s="271"/>
      <c r="F30" s="271"/>
      <c r="G30" s="271"/>
      <c r="H30" s="271"/>
    </row>
    <row r="31" spans="1:8" x14ac:dyDescent="0.25">
      <c r="B31" s="270"/>
      <c r="C31" s="44"/>
      <c r="D31" s="271"/>
      <c r="E31" s="271"/>
      <c r="F31" s="271"/>
      <c r="G31" s="271"/>
      <c r="H31" s="271"/>
    </row>
    <row r="32" spans="1:8" x14ac:dyDescent="0.25">
      <c r="B32" s="270"/>
      <c r="C32" s="44"/>
      <c r="D32" s="271"/>
      <c r="E32" s="271"/>
      <c r="F32" s="271"/>
      <c r="G32" s="271"/>
      <c r="H32" s="271"/>
    </row>
    <row r="33" spans="2:8" x14ac:dyDescent="0.25">
      <c r="B33" s="270"/>
      <c r="C33" s="44"/>
      <c r="D33" s="271"/>
      <c r="E33" s="271"/>
      <c r="F33" s="271"/>
      <c r="G33" s="271"/>
      <c r="H33" s="271"/>
    </row>
    <row r="34" spans="2:8" x14ac:dyDescent="0.25">
      <c r="B34" s="270"/>
      <c r="C34" s="44"/>
      <c r="D34" s="271"/>
      <c r="E34" s="271"/>
      <c r="F34" s="271"/>
      <c r="G34" s="271"/>
      <c r="H34" s="271"/>
    </row>
    <row r="35" spans="2:8" x14ac:dyDescent="0.25">
      <c r="B35" s="270"/>
      <c r="C35" s="44"/>
      <c r="D35" s="271"/>
      <c r="E35" s="271"/>
      <c r="F35" s="271"/>
      <c r="G35" s="271"/>
      <c r="H35" s="271"/>
    </row>
    <row r="36" spans="2:8" x14ac:dyDescent="0.25">
      <c r="B36" s="270"/>
      <c r="C36" s="44"/>
      <c r="D36" s="271"/>
      <c r="E36" s="271"/>
      <c r="F36" s="271"/>
      <c r="G36" s="271"/>
      <c r="H36" s="271"/>
    </row>
    <row r="37" spans="2:8" x14ac:dyDescent="0.25">
      <c r="B37" s="270"/>
      <c r="C37" s="44"/>
      <c r="D37" s="271"/>
      <c r="E37" s="271"/>
      <c r="F37" s="271"/>
      <c r="G37" s="271"/>
      <c r="H37" s="271"/>
    </row>
    <row r="38" spans="2:8" x14ac:dyDescent="0.25">
      <c r="B38" s="270"/>
      <c r="C38" s="44"/>
      <c r="D38" s="271"/>
      <c r="E38" s="271"/>
      <c r="F38" s="271"/>
      <c r="G38" s="271"/>
      <c r="H38" s="271"/>
    </row>
    <row r="39" spans="2:8" x14ac:dyDescent="0.25">
      <c r="B39" s="270"/>
      <c r="C39" s="44"/>
      <c r="D39" s="271"/>
      <c r="E39" s="271"/>
      <c r="F39" s="271"/>
      <c r="G39" s="271"/>
      <c r="H39" s="271"/>
    </row>
    <row r="40" spans="2:8" x14ac:dyDescent="0.25">
      <c r="B40" s="270"/>
      <c r="C40" s="44"/>
      <c r="D40" s="271"/>
      <c r="E40" s="271"/>
      <c r="F40" s="271"/>
      <c r="G40" s="271"/>
      <c r="H40" s="271"/>
    </row>
    <row r="41" spans="2:8" x14ac:dyDescent="0.25">
      <c r="B41" s="270"/>
      <c r="C41" s="44"/>
      <c r="D41" s="271"/>
      <c r="E41" s="271"/>
      <c r="F41" s="271"/>
      <c r="G41" s="271"/>
      <c r="H41" s="271"/>
    </row>
    <row r="42" spans="2:8" x14ac:dyDescent="0.25">
      <c r="B42" s="270"/>
      <c r="C42" s="44"/>
      <c r="D42" s="271"/>
      <c r="E42" s="271"/>
      <c r="F42" s="271"/>
      <c r="G42" s="271"/>
      <c r="H42" s="271"/>
    </row>
    <row r="43" spans="2:8" x14ac:dyDescent="0.25">
      <c r="B43" s="270"/>
      <c r="C43" s="44"/>
      <c r="D43" s="271"/>
      <c r="E43" s="271"/>
      <c r="F43" s="271"/>
      <c r="G43" s="271"/>
      <c r="H43" s="271"/>
    </row>
    <row r="44" spans="2:8" x14ac:dyDescent="0.25">
      <c r="B44" s="270"/>
      <c r="C44" s="44"/>
      <c r="D44" s="271"/>
      <c r="E44" s="271"/>
      <c r="F44" s="271"/>
      <c r="G44" s="271"/>
      <c r="H44" s="271"/>
    </row>
    <row r="45" spans="2:8" x14ac:dyDescent="0.25">
      <c r="B45" s="270"/>
      <c r="C45" s="44"/>
      <c r="D45" s="271"/>
      <c r="E45" s="271"/>
      <c r="F45" s="271"/>
      <c r="G45" s="271"/>
      <c r="H45" s="271"/>
    </row>
    <row r="46" spans="2:8" x14ac:dyDescent="0.25">
      <c r="B46" s="270"/>
      <c r="C46" s="44"/>
      <c r="D46" s="271"/>
      <c r="E46" s="271"/>
      <c r="F46" s="271"/>
      <c r="G46" s="271"/>
      <c r="H46" s="271"/>
    </row>
    <row r="47" spans="2:8" x14ac:dyDescent="0.25">
      <c r="B47" s="270"/>
      <c r="C47" s="44"/>
      <c r="D47" s="271"/>
      <c r="E47" s="271"/>
      <c r="F47" s="271"/>
      <c r="G47" s="271"/>
      <c r="H47" s="271"/>
    </row>
    <row r="48" spans="2:8" x14ac:dyDescent="0.25">
      <c r="B48" s="270"/>
      <c r="C48" s="44"/>
      <c r="D48" s="271"/>
      <c r="E48" s="271"/>
      <c r="F48" s="271"/>
      <c r="G48" s="271"/>
      <c r="H48" s="271"/>
    </row>
    <row r="49" spans="2:8" x14ac:dyDescent="0.25">
      <c r="B49" s="270"/>
      <c r="C49" s="44"/>
      <c r="D49" s="271"/>
      <c r="E49" s="271"/>
      <c r="F49" s="271"/>
      <c r="G49" s="271"/>
      <c r="H49" s="271"/>
    </row>
    <row r="50" spans="2:8" x14ac:dyDescent="0.25">
      <c r="B50" s="270"/>
      <c r="C50" s="44"/>
      <c r="D50" s="271"/>
      <c r="E50" s="271"/>
      <c r="F50" s="271"/>
      <c r="G50" s="271"/>
      <c r="H50" s="271"/>
    </row>
    <row r="51" spans="2:8" x14ac:dyDescent="0.25">
      <c r="B51" s="270"/>
      <c r="C51" s="44"/>
      <c r="D51" s="271"/>
      <c r="E51" s="271"/>
      <c r="F51" s="271"/>
      <c r="G51" s="271"/>
      <c r="H51" s="271"/>
    </row>
    <row r="52" spans="2:8" x14ac:dyDescent="0.25">
      <c r="B52" s="270"/>
      <c r="C52" s="44"/>
      <c r="D52" s="271"/>
      <c r="E52" s="271"/>
      <c r="F52" s="271"/>
      <c r="G52" s="271"/>
      <c r="H52" s="271"/>
    </row>
    <row r="53" spans="2:8" x14ac:dyDescent="0.25">
      <c r="B53" s="270"/>
      <c r="C53" s="44"/>
      <c r="D53" s="271"/>
      <c r="E53" s="271"/>
      <c r="F53" s="271"/>
      <c r="G53" s="271"/>
      <c r="H53" s="271"/>
    </row>
    <row r="54" spans="2:8" x14ac:dyDescent="0.25">
      <c r="B54" s="270"/>
      <c r="C54" s="44"/>
      <c r="D54" s="271"/>
      <c r="E54" s="271"/>
      <c r="F54" s="271"/>
      <c r="G54" s="271"/>
      <c r="H54" s="271"/>
    </row>
    <row r="56" spans="2:8" x14ac:dyDescent="0.25">
      <c r="B56" t="s">
        <v>782</v>
      </c>
    </row>
    <row r="57" spans="2:8" x14ac:dyDescent="0.25">
      <c r="B57" s="8" t="s">
        <v>783</v>
      </c>
    </row>
  </sheetData>
  <hyperlinks>
    <hyperlink ref="A5" location="Índice!A1" display="Índice/Contents" xr:uid="{E4507BCB-71AC-45ED-80F1-5FF8F240522F}"/>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6EED-4DA7-45D9-8DF6-3B96F7C8A908}">
  <sheetPr codeName="Sheet15">
    <tabColor theme="0" tint="-4.9989318521683403E-2"/>
  </sheetPr>
  <dimension ref="A5:J43"/>
  <sheetViews>
    <sheetView showGridLines="0" topLeftCell="A12" zoomScaleNormal="100" workbookViewId="0">
      <selection activeCell="I41" sqref="I41"/>
    </sheetView>
  </sheetViews>
  <sheetFormatPr defaultRowHeight="15" x14ac:dyDescent="0.25"/>
  <cols>
    <col min="1" max="2" width="20.5703125" customWidth="1"/>
  </cols>
  <sheetData>
    <row r="5" spans="1:5" x14ac:dyDescent="0.25">
      <c r="A5" s="39" t="s">
        <v>3</v>
      </c>
    </row>
    <row r="6" spans="1:5" ht="18.75" x14ac:dyDescent="0.25">
      <c r="A6" s="6" t="s">
        <v>180</v>
      </c>
    </row>
    <row r="7" spans="1:5" x14ac:dyDescent="0.25">
      <c r="A7" s="78" t="str">
        <f>+Índice!$A$50</f>
        <v>Parte I.2 Análise e projeções de finanças públicas/Part I.2 Analysis and projections of public finances</v>
      </c>
    </row>
    <row r="8" spans="1:5" ht="18.75" x14ac:dyDescent="0.25">
      <c r="A8" s="6"/>
    </row>
    <row r="9" spans="1:5" ht="18.75" x14ac:dyDescent="0.25">
      <c r="A9" s="6"/>
    </row>
    <row r="10" spans="1:5" x14ac:dyDescent="0.25">
      <c r="A10" s="40" t="s">
        <v>157</v>
      </c>
    </row>
    <row r="11" spans="1:5" x14ac:dyDescent="0.25">
      <c r="A11" s="41" t="s">
        <v>158</v>
      </c>
    </row>
    <row r="15" spans="1:5" x14ac:dyDescent="0.25">
      <c r="A15" s="42" t="s">
        <v>44</v>
      </c>
      <c r="C15" s="317" t="s">
        <v>45</v>
      </c>
      <c r="D15" s="317" t="s">
        <v>45</v>
      </c>
      <c r="E15" s="317" t="s">
        <v>45</v>
      </c>
    </row>
    <row r="16" spans="1:5" x14ac:dyDescent="0.25">
      <c r="C16" s="318" t="s">
        <v>46</v>
      </c>
      <c r="D16" s="318" t="s">
        <v>46</v>
      </c>
      <c r="E16" s="318" t="s">
        <v>46</v>
      </c>
    </row>
    <row r="17" spans="1:5" x14ac:dyDescent="0.25">
      <c r="C17" s="318"/>
      <c r="D17" s="318"/>
      <c r="E17" s="318"/>
    </row>
    <row r="18" spans="1:5" x14ac:dyDescent="0.25">
      <c r="C18">
        <v>2019</v>
      </c>
      <c r="D18">
        <v>2023</v>
      </c>
      <c r="E18" s="43" t="s">
        <v>905</v>
      </c>
    </row>
    <row r="20" spans="1:5" x14ac:dyDescent="0.25">
      <c r="A20" t="s">
        <v>48</v>
      </c>
      <c r="B20" s="8" t="s">
        <v>48</v>
      </c>
      <c r="C20" s="16">
        <v>0.9</v>
      </c>
      <c r="D20" s="16">
        <v>3.1</v>
      </c>
      <c r="E20" s="16">
        <v>2.9000000000000008</v>
      </c>
    </row>
    <row r="21" spans="1:5" x14ac:dyDescent="0.25">
      <c r="A21" t="s">
        <v>47</v>
      </c>
      <c r="B21" s="8" t="s">
        <v>47</v>
      </c>
      <c r="C21" s="16">
        <v>0.5</v>
      </c>
      <c r="D21" s="16">
        <v>1.7</v>
      </c>
      <c r="E21" s="16">
        <v>1.2</v>
      </c>
    </row>
    <row r="22" spans="1:5" x14ac:dyDescent="0.25">
      <c r="A22" t="s">
        <v>49</v>
      </c>
      <c r="B22" s="8" t="s">
        <v>49</v>
      </c>
      <c r="C22" s="16">
        <v>0.1</v>
      </c>
      <c r="D22" s="16">
        <v>1.2</v>
      </c>
      <c r="E22" s="16">
        <v>0.77930604873854192</v>
      </c>
    </row>
    <row r="23" spans="1:5" x14ac:dyDescent="0.25">
      <c r="A23" t="s">
        <v>54</v>
      </c>
      <c r="B23" s="8" t="s">
        <v>54</v>
      </c>
      <c r="C23" s="16">
        <v>1.8</v>
      </c>
      <c r="D23" s="16">
        <v>-0.3</v>
      </c>
      <c r="E23" s="16">
        <v>-2.1</v>
      </c>
    </row>
    <row r="24" spans="1:5" x14ac:dyDescent="0.25">
      <c r="A24" t="s">
        <v>1195</v>
      </c>
      <c r="B24" s="8" t="s">
        <v>1195</v>
      </c>
      <c r="C24" s="16">
        <v>0.2</v>
      </c>
      <c r="D24" s="16">
        <v>-0.7</v>
      </c>
      <c r="E24" s="16">
        <v>-2.6</v>
      </c>
    </row>
    <row r="25" spans="1:5" x14ac:dyDescent="0.25">
      <c r="A25" t="s">
        <v>52</v>
      </c>
      <c r="B25" s="8" t="s">
        <v>52</v>
      </c>
      <c r="C25" s="16">
        <v>0.5</v>
      </c>
      <c r="D25" s="16">
        <v>-0.8</v>
      </c>
      <c r="E25" s="16">
        <v>-2.2000000000000002</v>
      </c>
    </row>
    <row r="26" spans="1:5" x14ac:dyDescent="0.25">
      <c r="A26" t="s">
        <v>53</v>
      </c>
      <c r="B26" s="8" t="s">
        <v>53</v>
      </c>
      <c r="C26" s="16">
        <v>2.2000000000000002</v>
      </c>
      <c r="D26" s="16">
        <v>-1.3</v>
      </c>
      <c r="E26" s="16">
        <v>-1.9</v>
      </c>
    </row>
    <row r="27" spans="1:5" x14ac:dyDescent="0.25">
      <c r="A27" t="s">
        <v>1196</v>
      </c>
      <c r="B27" s="8" t="s">
        <v>1196</v>
      </c>
      <c r="C27" s="16">
        <v>0.8</v>
      </c>
      <c r="D27" s="16">
        <v>-1.6</v>
      </c>
      <c r="E27" s="16">
        <v>-0.8</v>
      </c>
    </row>
    <row r="28" spans="1:5" x14ac:dyDescent="0.25">
      <c r="A28" t="s">
        <v>58</v>
      </c>
      <c r="B28" s="8" t="s">
        <v>58</v>
      </c>
      <c r="C28" s="16">
        <v>-0.5</v>
      </c>
      <c r="D28" s="16">
        <v>-2.2000000000000002</v>
      </c>
      <c r="E28" s="16">
        <v>-2.9000000000000008</v>
      </c>
    </row>
    <row r="29" spans="1:5" x14ac:dyDescent="0.25">
      <c r="A29" t="s">
        <v>50</v>
      </c>
      <c r="B29" s="8" t="s">
        <v>50</v>
      </c>
      <c r="C29" s="16">
        <v>1.5</v>
      </c>
      <c r="D29" s="16">
        <v>-2.5</v>
      </c>
      <c r="E29" s="16">
        <v>-1.2</v>
      </c>
    </row>
    <row r="30" spans="1:5" x14ac:dyDescent="0.25">
      <c r="A30" t="s">
        <v>59</v>
      </c>
      <c r="B30" s="8" t="s">
        <v>59</v>
      </c>
      <c r="C30" s="16">
        <v>0.7</v>
      </c>
      <c r="D30" s="16">
        <v>-2.5</v>
      </c>
      <c r="E30" s="16">
        <v>-2.2000000000000002</v>
      </c>
    </row>
    <row r="31" spans="1:5" x14ac:dyDescent="0.25">
      <c r="A31" t="s">
        <v>51</v>
      </c>
      <c r="B31" s="8" t="s">
        <v>51</v>
      </c>
      <c r="C31" s="16">
        <v>0.6</v>
      </c>
      <c r="D31" s="16">
        <v>-2.7</v>
      </c>
      <c r="E31" s="16">
        <v>-2.9000000000000008</v>
      </c>
    </row>
    <row r="32" spans="1:5" x14ac:dyDescent="0.25">
      <c r="A32" t="s">
        <v>56</v>
      </c>
      <c r="B32" s="8" t="s">
        <v>56</v>
      </c>
      <c r="C32" s="16">
        <v>-0.9</v>
      </c>
      <c r="D32" s="16">
        <v>-2.7</v>
      </c>
      <c r="E32" s="16">
        <v>-2.8</v>
      </c>
    </row>
    <row r="33" spans="1:10" x14ac:dyDescent="0.25">
      <c r="A33" t="s">
        <v>57</v>
      </c>
      <c r="B33" s="8" t="s">
        <v>57</v>
      </c>
      <c r="C33" s="16">
        <v>0.1</v>
      </c>
      <c r="D33" s="16">
        <v>-3.4</v>
      </c>
      <c r="E33" s="16">
        <v>-4.3</v>
      </c>
    </row>
    <row r="34" spans="1:10" x14ac:dyDescent="0.25">
      <c r="A34" t="s">
        <v>55</v>
      </c>
      <c r="B34" s="8" t="s">
        <v>1191</v>
      </c>
      <c r="C34" s="16">
        <v>-0.5</v>
      </c>
      <c r="D34" s="16">
        <v>-3.6</v>
      </c>
      <c r="E34" s="16">
        <v>-2.8</v>
      </c>
    </row>
    <row r="35" spans="1:10" x14ac:dyDescent="0.25">
      <c r="A35" t="s">
        <v>60</v>
      </c>
      <c r="B35" s="8" t="s">
        <v>60</v>
      </c>
      <c r="C35" s="16">
        <v>-3.1</v>
      </c>
      <c r="D35" s="16">
        <v>-3.6</v>
      </c>
      <c r="E35" s="16">
        <v>-2.8</v>
      </c>
    </row>
    <row r="36" spans="1:10" x14ac:dyDescent="0.25">
      <c r="A36" t="s">
        <v>64</v>
      </c>
      <c r="B36" s="8" t="s">
        <v>64</v>
      </c>
      <c r="C36" s="16">
        <v>-2</v>
      </c>
      <c r="D36" s="16">
        <v>-4.4000000000000004</v>
      </c>
      <c r="E36" s="16">
        <v>-4.7</v>
      </c>
    </row>
    <row r="37" spans="1:10" x14ac:dyDescent="0.25">
      <c r="A37" t="s">
        <v>63</v>
      </c>
      <c r="B37" s="8" t="s">
        <v>63</v>
      </c>
      <c r="C37" s="16">
        <v>0.8</v>
      </c>
      <c r="D37" s="16">
        <v>-4.9000000000000004</v>
      </c>
      <c r="E37" s="16">
        <v>-3.9000000000000008</v>
      </c>
    </row>
    <row r="38" spans="1:10" x14ac:dyDescent="0.25">
      <c r="A38" t="s">
        <v>65</v>
      </c>
      <c r="B38" s="8" t="s">
        <v>65</v>
      </c>
      <c r="C38" s="16">
        <v>-1.2</v>
      </c>
      <c r="D38" s="16">
        <v>-4.9000000000000004</v>
      </c>
      <c r="E38" s="16">
        <v>-5.4</v>
      </c>
    </row>
    <row r="39" spans="1:10" x14ac:dyDescent="0.25">
      <c r="A39" t="s">
        <v>62</v>
      </c>
      <c r="B39" s="8" t="s">
        <v>62</v>
      </c>
      <c r="C39" s="16">
        <v>-2.4</v>
      </c>
      <c r="D39" s="16">
        <v>-5.5</v>
      </c>
      <c r="E39" s="16">
        <v>-5</v>
      </c>
    </row>
    <row r="40" spans="1:10" x14ac:dyDescent="0.25">
      <c r="A40" t="s">
        <v>61</v>
      </c>
      <c r="B40" t="s">
        <v>61</v>
      </c>
      <c r="C40">
        <v>-1.5</v>
      </c>
      <c r="D40">
        <v>-7.4</v>
      </c>
      <c r="E40">
        <v>-4.7</v>
      </c>
    </row>
    <row r="42" spans="1:10" ht="51.95" customHeight="1" x14ac:dyDescent="0.25">
      <c r="A42" s="443" t="s">
        <v>1197</v>
      </c>
      <c r="B42" s="443"/>
      <c r="C42" s="443"/>
      <c r="D42" s="443"/>
      <c r="E42" s="443"/>
      <c r="F42" s="443"/>
      <c r="G42" s="443"/>
      <c r="H42" s="443"/>
      <c r="I42" s="443"/>
      <c r="J42" s="443"/>
    </row>
    <row r="43" spans="1:10" ht="51.95" customHeight="1" x14ac:dyDescent="0.25">
      <c r="A43" s="444" t="s">
        <v>1198</v>
      </c>
      <c r="B43" s="444"/>
      <c r="C43" s="444"/>
      <c r="D43" s="444"/>
      <c r="E43" s="444"/>
      <c r="F43" s="444"/>
      <c r="G43" s="444"/>
      <c r="H43" s="444"/>
      <c r="I43" s="444"/>
      <c r="J43" s="444"/>
    </row>
  </sheetData>
  <mergeCells count="2">
    <mergeCell ref="A42:J42"/>
    <mergeCell ref="A43:J43"/>
  </mergeCells>
  <hyperlinks>
    <hyperlink ref="A5" location="Índice!A1" display="Índice" xr:uid="{67F042E8-5F2D-48C3-A51B-35423D903B76}"/>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F131-991E-41ED-B9DE-0C98990ECE39}">
  <sheetPr codeName="Sheet39">
    <tabColor theme="0" tint="-4.9989318521683403E-2"/>
  </sheetPr>
  <dimension ref="A5:J30"/>
  <sheetViews>
    <sheetView showGridLines="0" zoomScaleNormal="100" workbookViewId="0">
      <selection activeCell="J29" sqref="J29"/>
    </sheetView>
  </sheetViews>
  <sheetFormatPr defaultRowHeight="15" x14ac:dyDescent="0.25"/>
  <cols>
    <col min="1" max="1" width="26.5703125" customWidth="1"/>
    <col min="2" max="2" width="29.85546875" customWidth="1"/>
  </cols>
  <sheetData>
    <row r="5" spans="1:7" x14ac:dyDescent="0.25">
      <c r="A5" s="39" t="s">
        <v>3</v>
      </c>
    </row>
    <row r="6" spans="1:7" ht="18.75" x14ac:dyDescent="0.25">
      <c r="A6" s="6" t="s">
        <v>180</v>
      </c>
    </row>
    <row r="7" spans="1:7" x14ac:dyDescent="0.25">
      <c r="A7" s="78" t="str">
        <f>+Índice!$A$50</f>
        <v>Parte I.2 Análise e projeções de finanças públicas/Part I.2 Analysis and projections of public finances</v>
      </c>
    </row>
    <row r="8" spans="1:7" ht="18.75" x14ac:dyDescent="0.25">
      <c r="A8" s="6"/>
    </row>
    <row r="9" spans="1:7" ht="18.75" x14ac:dyDescent="0.25">
      <c r="A9" s="6"/>
    </row>
    <row r="10" spans="1:7" x14ac:dyDescent="0.25">
      <c r="A10" s="40" t="s">
        <v>1177</v>
      </c>
    </row>
    <row r="11" spans="1:7" x14ac:dyDescent="0.25">
      <c r="A11" s="41" t="s">
        <v>1178</v>
      </c>
    </row>
    <row r="15" spans="1:7" x14ac:dyDescent="0.25">
      <c r="A15" s="42" t="s">
        <v>44</v>
      </c>
      <c r="C15" s="317" t="s">
        <v>1194</v>
      </c>
      <c r="D15" s="317" t="s">
        <v>1194</v>
      </c>
      <c r="E15" s="317" t="s">
        <v>1194</v>
      </c>
      <c r="F15" s="317" t="s">
        <v>1194</v>
      </c>
      <c r="G15" s="317" t="s">
        <v>1194</v>
      </c>
    </row>
    <row r="16" spans="1:7" x14ac:dyDescent="0.25">
      <c r="C16" s="317" t="s">
        <v>1192</v>
      </c>
      <c r="D16" s="317" t="s">
        <v>1192</v>
      </c>
      <c r="E16" s="317" t="s">
        <v>1192</v>
      </c>
      <c r="F16" s="317" t="s">
        <v>1192</v>
      </c>
      <c r="G16" s="317" t="s">
        <v>1192</v>
      </c>
    </row>
    <row r="17" spans="1:10" x14ac:dyDescent="0.25">
      <c r="E17" s="44"/>
    </row>
    <row r="18" spans="1:10" x14ac:dyDescent="0.25">
      <c r="C18" s="43" t="s">
        <v>55</v>
      </c>
      <c r="D18" s="43" t="s">
        <v>49</v>
      </c>
      <c r="E18" s="417" t="s">
        <v>49</v>
      </c>
      <c r="F18" s="417"/>
      <c r="G18" s="417"/>
    </row>
    <row r="19" spans="1:10" x14ac:dyDescent="0.25">
      <c r="C19" s="44" t="s">
        <v>1191</v>
      </c>
      <c r="D19" s="44" t="s">
        <v>49</v>
      </c>
      <c r="E19" s="316"/>
      <c r="F19" s="316" t="s">
        <v>49</v>
      </c>
      <c r="G19" s="315"/>
    </row>
    <row r="20" spans="1:10" x14ac:dyDescent="0.25">
      <c r="C20" s="417" t="s">
        <v>1189</v>
      </c>
      <c r="D20" s="417"/>
      <c r="E20" s="43" t="s">
        <v>904</v>
      </c>
      <c r="F20" s="43" t="s">
        <v>905</v>
      </c>
      <c r="G20" s="43" t="s">
        <v>906</v>
      </c>
    </row>
    <row r="21" spans="1:10" x14ac:dyDescent="0.25">
      <c r="C21" s="419" t="s">
        <v>1190</v>
      </c>
      <c r="D21" s="419"/>
    </row>
    <row r="22" spans="1:10" x14ac:dyDescent="0.25">
      <c r="C22" s="315"/>
      <c r="D22" s="315"/>
    </row>
    <row r="23" spans="1:10" x14ac:dyDescent="0.25">
      <c r="A23" t="s">
        <v>1179</v>
      </c>
      <c r="B23" s="8" t="s">
        <v>1184</v>
      </c>
      <c r="C23" s="16">
        <v>-0.70000000000000018</v>
      </c>
      <c r="D23" s="16">
        <v>8.5143682482893723E-2</v>
      </c>
      <c r="E23" s="16">
        <v>-0.32999230409779301</v>
      </c>
      <c r="F23" s="16">
        <v>-9.4547546605554089E-2</v>
      </c>
      <c r="G23" s="16">
        <v>-1.5477216805578564E-2</v>
      </c>
    </row>
    <row r="24" spans="1:10" x14ac:dyDescent="0.25">
      <c r="A24" t="s">
        <v>1180</v>
      </c>
      <c r="B24" s="8" t="s">
        <v>1185</v>
      </c>
      <c r="C24" s="16">
        <v>0.2</v>
      </c>
      <c r="D24" s="16">
        <v>5.4718198425267262E-2</v>
      </c>
      <c r="E24" s="16">
        <v>0.34698417101950119</v>
      </c>
      <c r="F24" s="16">
        <v>8.3896158963118653E-2</v>
      </c>
      <c r="G24" s="16">
        <v>0</v>
      </c>
    </row>
    <row r="25" spans="1:10" x14ac:dyDescent="0.25">
      <c r="A25" t="s">
        <v>1181</v>
      </c>
      <c r="B25" s="8" t="s">
        <v>1186</v>
      </c>
      <c r="C25" s="16">
        <v>-0.10000000000000009</v>
      </c>
      <c r="D25" s="16">
        <v>0.78374116740149535</v>
      </c>
      <c r="E25" s="16">
        <v>-0.11084203538769843</v>
      </c>
      <c r="F25" s="16">
        <v>7.7963028709308713E-2</v>
      </c>
      <c r="G25" s="16">
        <v>7.4815298125390672E-2</v>
      </c>
    </row>
    <row r="26" spans="1:10" x14ac:dyDescent="0.25">
      <c r="A26" t="s">
        <v>1182</v>
      </c>
      <c r="B26" s="8" t="s">
        <v>1187</v>
      </c>
      <c r="C26" s="16">
        <v>-2.5</v>
      </c>
      <c r="D26" s="16">
        <v>0.16365616861756394</v>
      </c>
      <c r="E26" s="16">
        <v>-7.1160326211916924E-2</v>
      </c>
      <c r="F26" s="16">
        <v>-0.32623134703365508</v>
      </c>
      <c r="G26" s="16">
        <v>-0.19481212108455281</v>
      </c>
    </row>
    <row r="27" spans="1:10" x14ac:dyDescent="0.25">
      <c r="A27" t="s">
        <v>1183</v>
      </c>
      <c r="B27" s="8" t="s">
        <v>1188</v>
      </c>
      <c r="C27" s="16">
        <v>-3.1</v>
      </c>
      <c r="D27" s="16">
        <v>1.0874835672717182</v>
      </c>
      <c r="E27" s="16">
        <v>-0.16463485774882258</v>
      </c>
      <c r="F27" s="16">
        <v>-0.25887207804467494</v>
      </c>
      <c r="G27" s="16">
        <v>-0.1354740397647376</v>
      </c>
    </row>
    <row r="29" spans="1:10" ht="70.349999999999994" customHeight="1" x14ac:dyDescent="0.25">
      <c r="A29" s="445" t="s">
        <v>1193</v>
      </c>
      <c r="B29" s="445"/>
      <c r="C29" s="445"/>
      <c r="D29" s="445"/>
      <c r="E29" s="445"/>
      <c r="F29" s="445"/>
      <c r="G29" s="445"/>
      <c r="H29" s="34"/>
      <c r="I29" s="34"/>
      <c r="J29" s="34"/>
    </row>
    <row r="30" spans="1:10" ht="70.349999999999994" customHeight="1" x14ac:dyDescent="0.25">
      <c r="A30" s="444" t="s">
        <v>1211</v>
      </c>
      <c r="B30" s="444"/>
      <c r="C30" s="444"/>
      <c r="D30" s="444"/>
      <c r="E30" s="444"/>
      <c r="F30" s="444"/>
      <c r="G30" s="444"/>
      <c r="H30" s="47"/>
      <c r="I30" s="47"/>
      <c r="J30" s="47"/>
    </row>
  </sheetData>
  <mergeCells count="5">
    <mergeCell ref="C20:D20"/>
    <mergeCell ref="E18:G18"/>
    <mergeCell ref="C21:D21"/>
    <mergeCell ref="A29:G29"/>
    <mergeCell ref="A30:G30"/>
  </mergeCells>
  <hyperlinks>
    <hyperlink ref="A5" location="Índice!A1" display="Índice" xr:uid="{2656D30A-98FD-4C65-870A-C9EE63AC09AC}"/>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E5B3-540D-438C-B3D9-301EDE3A1CEB}">
  <sheetPr codeName="Sheet40">
    <tabColor theme="0" tint="-4.9989318521683403E-2"/>
  </sheetPr>
  <dimension ref="A5:J27"/>
  <sheetViews>
    <sheetView zoomScaleNormal="100" workbookViewId="0">
      <selection activeCell="A28" sqref="A28"/>
    </sheetView>
  </sheetViews>
  <sheetFormatPr defaultRowHeight="15" x14ac:dyDescent="0.25"/>
  <cols>
    <col min="1" max="1" width="39.7109375" customWidth="1"/>
    <col min="2" max="2" width="29.85546875" customWidth="1"/>
  </cols>
  <sheetData>
    <row r="5" spans="1:7" x14ac:dyDescent="0.25">
      <c r="A5" s="39" t="s">
        <v>3</v>
      </c>
    </row>
    <row r="6" spans="1:7" ht="18.75" x14ac:dyDescent="0.25">
      <c r="A6" s="6" t="s">
        <v>180</v>
      </c>
    </row>
    <row r="7" spans="1:7" x14ac:dyDescent="0.25">
      <c r="A7" s="78" t="str">
        <f>+Índice!$A$50</f>
        <v>Parte I.2 Análise e projeções de finanças públicas/Part I.2 Analysis and projections of public finances</v>
      </c>
    </row>
    <row r="8" spans="1:7" ht="18.75" x14ac:dyDescent="0.25">
      <c r="A8" s="6"/>
    </row>
    <row r="9" spans="1:7" ht="18.75" x14ac:dyDescent="0.25">
      <c r="A9" s="6"/>
    </row>
    <row r="10" spans="1:7" x14ac:dyDescent="0.25">
      <c r="A10" s="40" t="s">
        <v>1199</v>
      </c>
    </row>
    <row r="11" spans="1:7" x14ac:dyDescent="0.25">
      <c r="A11" s="41" t="s">
        <v>1201</v>
      </c>
    </row>
    <row r="15" spans="1:7" x14ac:dyDescent="0.25">
      <c r="A15" s="42" t="s">
        <v>44</v>
      </c>
      <c r="C15" s="317" t="s">
        <v>1200</v>
      </c>
      <c r="D15" s="317" t="s">
        <v>1200</v>
      </c>
      <c r="E15" s="317" t="s">
        <v>1200</v>
      </c>
      <c r="F15" s="317" t="s">
        <v>1200</v>
      </c>
      <c r="G15" s="317"/>
    </row>
    <row r="16" spans="1:7" x14ac:dyDescent="0.25">
      <c r="C16" s="317" t="s">
        <v>1210</v>
      </c>
      <c r="D16" s="317" t="s">
        <v>1210</v>
      </c>
      <c r="E16" s="317" t="s">
        <v>1210</v>
      </c>
      <c r="F16" s="317" t="s">
        <v>1210</v>
      </c>
      <c r="G16" s="317"/>
    </row>
    <row r="17" spans="1:10" x14ac:dyDescent="0.25">
      <c r="E17" s="44"/>
    </row>
    <row r="18" spans="1:10" x14ac:dyDescent="0.25">
      <c r="C18" s="43">
        <v>2023</v>
      </c>
      <c r="D18" s="43">
        <v>2024</v>
      </c>
      <c r="E18" s="43">
        <v>2025</v>
      </c>
      <c r="F18" s="43">
        <v>2026</v>
      </c>
    </row>
    <row r="19" spans="1:10" x14ac:dyDescent="0.25">
      <c r="A19" t="s">
        <v>1202</v>
      </c>
      <c r="B19" s="8" t="s">
        <v>1309</v>
      </c>
      <c r="C19" s="16">
        <v>0</v>
      </c>
      <c r="D19" s="16">
        <v>-0.90092387991623568</v>
      </c>
      <c r="E19" s="16">
        <v>-0.9228380744930853</v>
      </c>
      <c r="F19" s="16">
        <v>-0.87212158355679847</v>
      </c>
      <c r="G19" s="16"/>
    </row>
    <row r="20" spans="1:10" x14ac:dyDescent="0.25">
      <c r="A20" t="s">
        <v>1203</v>
      </c>
      <c r="B20" s="8" t="s">
        <v>1207</v>
      </c>
      <c r="C20" s="16">
        <v>-1.0342602404686638</v>
      </c>
      <c r="D20" s="16">
        <v>-0.43981569783274016</v>
      </c>
      <c r="E20" s="16">
        <v>-0.10445053601270561</v>
      </c>
      <c r="F20" s="16">
        <v>-9.9758415958589211E-2</v>
      </c>
      <c r="G20" s="16"/>
    </row>
    <row r="21" spans="1:10" x14ac:dyDescent="0.25">
      <c r="A21" t="s">
        <v>1204</v>
      </c>
      <c r="B21" s="8" t="s">
        <v>1209</v>
      </c>
      <c r="C21" s="16">
        <v>-1.9783291118423078E-2</v>
      </c>
      <c r="D21" s="16">
        <v>-0.11110019949130785</v>
      </c>
      <c r="E21" s="16">
        <v>-0.50770875471548937</v>
      </c>
      <c r="F21" s="16">
        <v>-0.79677899683049191</v>
      </c>
      <c r="G21" s="16"/>
    </row>
    <row r="22" spans="1:10" x14ac:dyDescent="0.25">
      <c r="A22" t="s">
        <v>1205</v>
      </c>
      <c r="B22" s="8" t="s">
        <v>1208</v>
      </c>
      <c r="C22" s="16">
        <v>-1.0362149913547392</v>
      </c>
      <c r="D22" s="16">
        <v>-0.96558129928329339</v>
      </c>
      <c r="E22" s="16">
        <v>-0.94444573843531865</v>
      </c>
      <c r="F22" s="16">
        <v>-0.88586681632870057</v>
      </c>
      <c r="G22" s="16"/>
    </row>
    <row r="23" spans="1:10" x14ac:dyDescent="0.25">
      <c r="A23" t="s">
        <v>1206</v>
      </c>
      <c r="B23" s="8" t="s">
        <v>1308</v>
      </c>
      <c r="C23" s="16">
        <v>0</v>
      </c>
      <c r="D23" s="16">
        <v>-1.7419117750817007E-2</v>
      </c>
      <c r="E23" s="16">
        <v>-0.13471683770447018</v>
      </c>
      <c r="F23" s="16">
        <v>-0.12866509685228922</v>
      </c>
      <c r="G23" s="16"/>
    </row>
    <row r="24" spans="1:10" x14ac:dyDescent="0.25">
      <c r="A24" t="s">
        <v>66</v>
      </c>
      <c r="B24" s="8" t="s">
        <v>66</v>
      </c>
      <c r="C24" s="16">
        <v>-2.0902585229418262</v>
      </c>
      <c r="D24" s="16">
        <v>-2.4348401942743942</v>
      </c>
      <c r="E24" s="16">
        <v>-2.6141599413610694</v>
      </c>
      <c r="F24" s="16">
        <v>-2.7831909095268692</v>
      </c>
    </row>
    <row r="26" spans="1:10" ht="42.6" customHeight="1" x14ac:dyDescent="0.25">
      <c r="A26" s="445" t="s">
        <v>1307</v>
      </c>
      <c r="B26" s="445"/>
      <c r="C26" s="445"/>
      <c r="D26" s="445"/>
      <c r="E26" s="445"/>
      <c r="F26" s="445"/>
      <c r="G26" s="445"/>
      <c r="H26" s="34"/>
      <c r="I26" s="34"/>
      <c r="J26" s="34"/>
    </row>
    <row r="27" spans="1:10" ht="34.35" customHeight="1" x14ac:dyDescent="0.25">
      <c r="A27" s="444" t="s">
        <v>1617</v>
      </c>
      <c r="B27" s="444"/>
      <c r="C27" s="444"/>
      <c r="D27" s="444"/>
      <c r="E27" s="444"/>
      <c r="F27" s="444"/>
      <c r="G27" s="444"/>
      <c r="H27" s="47"/>
      <c r="I27" s="47"/>
      <c r="J27" s="47"/>
    </row>
  </sheetData>
  <mergeCells count="2">
    <mergeCell ref="A26:G26"/>
    <mergeCell ref="A27:G27"/>
  </mergeCells>
  <hyperlinks>
    <hyperlink ref="A5" location="Índice!A1" display="Índice" xr:uid="{A577D517-F229-4BDC-A664-58D132D18AC9}"/>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C075B-4DB5-4F5E-BA6B-608072659994}">
  <sheetPr codeName="Sheet41">
    <tabColor theme="0" tint="-4.9989318521683403E-2"/>
  </sheetPr>
  <dimension ref="A5:J26"/>
  <sheetViews>
    <sheetView showGridLines="0" zoomScaleNormal="100" workbookViewId="0">
      <selection activeCell="B16" sqref="B16"/>
    </sheetView>
  </sheetViews>
  <sheetFormatPr defaultRowHeight="15" x14ac:dyDescent="0.25"/>
  <cols>
    <col min="1" max="1" width="26.5703125" customWidth="1"/>
    <col min="2" max="2" width="29.85546875" customWidth="1"/>
  </cols>
  <sheetData>
    <row r="5" spans="1:9" x14ac:dyDescent="0.25">
      <c r="A5" s="39" t="s">
        <v>3</v>
      </c>
    </row>
    <row r="6" spans="1:9" ht="18.75" x14ac:dyDescent="0.25">
      <c r="A6" s="6" t="s">
        <v>180</v>
      </c>
    </row>
    <row r="7" spans="1:9" x14ac:dyDescent="0.25">
      <c r="A7" s="78" t="str">
        <f>+Índice!$A$50</f>
        <v>Parte I.2 Análise e projeções de finanças públicas/Part I.2 Analysis and projections of public finances</v>
      </c>
    </row>
    <row r="8" spans="1:9" ht="18.75" x14ac:dyDescent="0.25">
      <c r="A8" s="6"/>
    </row>
    <row r="9" spans="1:9" ht="18.75" x14ac:dyDescent="0.25">
      <c r="A9" s="6"/>
    </row>
    <row r="10" spans="1:9" x14ac:dyDescent="0.25">
      <c r="A10" s="40" t="s">
        <v>1310</v>
      </c>
    </row>
    <row r="11" spans="1:9" x14ac:dyDescent="0.25">
      <c r="A11" s="41" t="s">
        <v>1311</v>
      </c>
    </row>
    <row r="15" spans="1:9" x14ac:dyDescent="0.25">
      <c r="A15" s="42" t="s">
        <v>44</v>
      </c>
      <c r="C15" s="317" t="s">
        <v>1194</v>
      </c>
      <c r="D15" s="317" t="s">
        <v>1194</v>
      </c>
      <c r="E15" s="317" t="s">
        <v>1194</v>
      </c>
      <c r="F15" s="317" t="s">
        <v>1194</v>
      </c>
      <c r="G15" s="317" t="s">
        <v>1194</v>
      </c>
      <c r="H15" s="317" t="s">
        <v>1194</v>
      </c>
      <c r="I15" s="317" t="s">
        <v>1194</v>
      </c>
    </row>
    <row r="16" spans="1:9" x14ac:dyDescent="0.25">
      <c r="C16" s="317" t="s">
        <v>1192</v>
      </c>
      <c r="D16" s="317" t="s">
        <v>1192</v>
      </c>
      <c r="E16" s="317" t="s">
        <v>1192</v>
      </c>
      <c r="F16" s="317" t="s">
        <v>1192</v>
      </c>
      <c r="G16" s="317" t="s">
        <v>1192</v>
      </c>
      <c r="H16" s="317" t="s">
        <v>1192</v>
      </c>
      <c r="I16" s="317" t="s">
        <v>1192</v>
      </c>
    </row>
    <row r="17" spans="1:10" x14ac:dyDescent="0.25">
      <c r="E17" s="44"/>
    </row>
    <row r="18" spans="1:10" x14ac:dyDescent="0.25">
      <c r="C18" s="43">
        <v>2020</v>
      </c>
      <c r="D18" s="43">
        <v>2021</v>
      </c>
      <c r="E18" s="43">
        <v>2022</v>
      </c>
      <c r="F18" s="43">
        <v>2023</v>
      </c>
      <c r="G18" s="43" t="s">
        <v>904</v>
      </c>
      <c r="H18" s="43" t="s">
        <v>905</v>
      </c>
      <c r="I18" s="43" t="s">
        <v>906</v>
      </c>
    </row>
    <row r="19" spans="1:10" x14ac:dyDescent="0.25">
      <c r="A19" t="s">
        <v>1312</v>
      </c>
      <c r="B19" s="8" t="s">
        <v>1316</v>
      </c>
      <c r="C19" s="16">
        <v>7.1451546584457903E-2</v>
      </c>
      <c r="D19" s="16">
        <v>0.23988706786164291</v>
      </c>
      <c r="E19" s="16">
        <v>0.27149890838102675</v>
      </c>
      <c r="F19" s="16">
        <v>0.37714936343814592</v>
      </c>
      <c r="G19" s="16">
        <v>0.22768689597317296</v>
      </c>
      <c r="H19" s="16">
        <v>0.16352196333714361</v>
      </c>
      <c r="I19" s="16">
        <v>0.16028731610610958</v>
      </c>
    </row>
    <row r="20" spans="1:10" x14ac:dyDescent="0.25">
      <c r="A20" t="s">
        <v>1313</v>
      </c>
      <c r="B20" s="8" t="s">
        <v>1317</v>
      </c>
      <c r="C20" s="16">
        <v>-8.2818271794162013E-2</v>
      </c>
      <c r="D20" s="16">
        <v>4.3697856520011347E-3</v>
      </c>
      <c r="E20" s="16">
        <v>5.7653419480980905E-2</v>
      </c>
      <c r="F20" s="16">
        <v>-0.4126811530870767</v>
      </c>
      <c r="G20" s="16">
        <v>-0.19519609394975623</v>
      </c>
      <c r="H20" s="16">
        <v>-0.20587986521248042</v>
      </c>
      <c r="I20" s="16">
        <v>-0.12684127040410453</v>
      </c>
    </row>
    <row r="21" spans="1:10" x14ac:dyDescent="0.25">
      <c r="A21" t="s">
        <v>1314</v>
      </c>
      <c r="B21" s="8" t="s">
        <v>1318</v>
      </c>
      <c r="C21" s="16">
        <v>-0.37466328848898939</v>
      </c>
      <c r="D21" s="16">
        <v>-0.30017901031329758</v>
      </c>
      <c r="E21" s="16">
        <v>-0.16179317504686833</v>
      </c>
      <c r="F21" s="16">
        <v>-0.65196043401053427</v>
      </c>
      <c r="G21" s="16">
        <v>-0.18944557082016505</v>
      </c>
      <c r="H21" s="16">
        <v>1.2515835402154563E-2</v>
      </c>
      <c r="I21" s="16">
        <v>0</v>
      </c>
    </row>
    <row r="22" spans="1:10" x14ac:dyDescent="0.25">
      <c r="A22" t="s">
        <v>1315</v>
      </c>
      <c r="B22" s="8" t="s">
        <v>1319</v>
      </c>
      <c r="C22" s="16">
        <v>1.1540244439157994</v>
      </c>
      <c r="D22" s="16">
        <v>-2.5398960387582464E-3</v>
      </c>
      <c r="E22" s="16">
        <v>0.3933853745048036</v>
      </c>
      <c r="F22" s="16">
        <v>0.3813733661503923</v>
      </c>
      <c r="G22" s="16">
        <v>5.7043736259575206E-4</v>
      </c>
      <c r="H22" s="16">
        <v>-0.1037748214431635</v>
      </c>
      <c r="I22" s="16">
        <v>-8.4408568499169889E-2</v>
      </c>
    </row>
    <row r="23" spans="1:10" x14ac:dyDescent="0.25">
      <c r="A23" t="s">
        <v>66</v>
      </c>
      <c r="B23" s="8" t="s">
        <v>66</v>
      </c>
      <c r="C23" s="16">
        <v>0.76799443021710589</v>
      </c>
      <c r="D23" s="16">
        <v>-5.8462052838411785E-2</v>
      </c>
      <c r="E23" s="16">
        <v>0.56074452731994295</v>
      </c>
      <c r="F23" s="16">
        <v>-0.30611885750907275</v>
      </c>
      <c r="G23" s="16">
        <v>-0.15638433143415259</v>
      </c>
      <c r="H23" s="16">
        <v>-0.13361688791634574</v>
      </c>
      <c r="I23" s="16">
        <v>-5.0962522797164844E-2</v>
      </c>
    </row>
    <row r="25" spans="1:10" ht="28.35" customHeight="1" x14ac:dyDescent="0.25">
      <c r="A25" s="445" t="s">
        <v>1320</v>
      </c>
      <c r="B25" s="445"/>
      <c r="C25" s="445"/>
      <c r="D25" s="445"/>
      <c r="E25" s="445"/>
      <c r="F25" s="445"/>
      <c r="G25" s="445"/>
      <c r="H25" s="34"/>
      <c r="I25" s="34"/>
      <c r="J25" s="34"/>
    </row>
    <row r="26" spans="1:10" ht="24.6" customHeight="1" x14ac:dyDescent="0.25">
      <c r="A26" s="444" t="s">
        <v>1331</v>
      </c>
      <c r="B26" s="444"/>
      <c r="C26" s="444"/>
      <c r="D26" s="444"/>
      <c r="E26" s="444"/>
      <c r="F26" s="444"/>
      <c r="G26" s="444"/>
      <c r="H26" s="47"/>
      <c r="I26" s="47"/>
      <c r="J26" s="47"/>
    </row>
  </sheetData>
  <mergeCells count="2">
    <mergeCell ref="A25:G25"/>
    <mergeCell ref="A26:G26"/>
  </mergeCells>
  <hyperlinks>
    <hyperlink ref="A5" location="Índice!A1" display="Índice" xr:uid="{0E3989B2-81F2-4016-A865-DFE4625CB3F5}"/>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C5CF-41AB-44AB-8F4E-C5F947E2BABB}">
  <sheetPr codeName="Sheet42">
    <tabColor theme="0" tint="-4.9989318521683403E-2"/>
  </sheetPr>
  <dimension ref="A5:J26"/>
  <sheetViews>
    <sheetView showGridLines="0" zoomScaleNormal="100" workbookViewId="0">
      <selection activeCell="I25" sqref="I25"/>
    </sheetView>
  </sheetViews>
  <sheetFormatPr defaultRowHeight="15" x14ac:dyDescent="0.25"/>
  <cols>
    <col min="1" max="1" width="26.5703125" customWidth="1"/>
    <col min="2" max="2" width="29.85546875" customWidth="1"/>
  </cols>
  <sheetData>
    <row r="5" spans="1:9" x14ac:dyDescent="0.25">
      <c r="A5" s="39" t="s">
        <v>3</v>
      </c>
    </row>
    <row r="6" spans="1:9" ht="18.75" x14ac:dyDescent="0.25">
      <c r="A6" s="6" t="s">
        <v>180</v>
      </c>
    </row>
    <row r="7" spans="1:9" x14ac:dyDescent="0.25">
      <c r="A7" s="78" t="str">
        <f>+Índice!$A$50</f>
        <v>Parte I.2 Análise e projeções de finanças públicas/Part I.2 Analysis and projections of public finances</v>
      </c>
    </row>
    <row r="8" spans="1:9" ht="18.75" x14ac:dyDescent="0.25">
      <c r="A8" s="6"/>
    </row>
    <row r="9" spans="1:9" ht="18.75" x14ac:dyDescent="0.25">
      <c r="A9" s="6"/>
    </row>
    <row r="10" spans="1:9" x14ac:dyDescent="0.25">
      <c r="A10" s="40" t="s">
        <v>1321</v>
      </c>
    </row>
    <row r="11" spans="1:9" x14ac:dyDescent="0.25">
      <c r="A11" s="41" t="s">
        <v>1322</v>
      </c>
    </row>
    <row r="15" spans="1:9" x14ac:dyDescent="0.25">
      <c r="A15" s="42" t="s">
        <v>44</v>
      </c>
      <c r="C15" s="317" t="s">
        <v>1194</v>
      </c>
      <c r="D15" s="317" t="s">
        <v>1194</v>
      </c>
      <c r="E15" s="317" t="s">
        <v>1194</v>
      </c>
      <c r="F15" s="317" t="s">
        <v>1194</v>
      </c>
      <c r="G15" s="317" t="s">
        <v>1194</v>
      </c>
      <c r="H15" s="317" t="s">
        <v>1194</v>
      </c>
      <c r="I15" s="317" t="s">
        <v>1194</v>
      </c>
    </row>
    <row r="16" spans="1:9" x14ac:dyDescent="0.25">
      <c r="C16" s="317" t="s">
        <v>1192</v>
      </c>
      <c r="D16" s="317" t="s">
        <v>1192</v>
      </c>
      <c r="E16" s="317" t="s">
        <v>1192</v>
      </c>
      <c r="F16" s="317" t="s">
        <v>1192</v>
      </c>
      <c r="G16" s="317" t="s">
        <v>1192</v>
      </c>
      <c r="H16" s="317" t="s">
        <v>1192</v>
      </c>
      <c r="I16" s="317" t="s">
        <v>1192</v>
      </c>
    </row>
    <row r="17" spans="1:10" x14ac:dyDescent="0.25">
      <c r="E17" s="44"/>
    </row>
    <row r="18" spans="1:10" x14ac:dyDescent="0.25">
      <c r="C18" s="43">
        <v>2020</v>
      </c>
      <c r="D18" s="43">
        <v>2021</v>
      </c>
      <c r="E18" s="43">
        <v>2022</v>
      </c>
      <c r="F18" s="43">
        <v>2023</v>
      </c>
      <c r="G18" s="43" t="s">
        <v>904</v>
      </c>
      <c r="H18" s="43" t="s">
        <v>905</v>
      </c>
      <c r="I18" s="43" t="s">
        <v>906</v>
      </c>
    </row>
    <row r="19" spans="1:10" x14ac:dyDescent="0.25">
      <c r="A19" t="s">
        <v>1323</v>
      </c>
      <c r="B19" s="8" t="s">
        <v>1327</v>
      </c>
      <c r="C19" s="16">
        <v>0.19096683365243372</v>
      </c>
      <c r="D19" s="16">
        <v>5.3434041347308892E-2</v>
      </c>
      <c r="E19" s="16">
        <v>-0.32057275744380842</v>
      </c>
      <c r="F19" s="16">
        <v>-9.235726846927772E-2</v>
      </c>
      <c r="G19" s="16">
        <v>-2.507900671657648E-2</v>
      </c>
      <c r="H19" s="16">
        <v>-9.9081510387668992E-2</v>
      </c>
      <c r="I19" s="16">
        <v>-4.0705941568721649E-2</v>
      </c>
    </row>
    <row r="20" spans="1:10" x14ac:dyDescent="0.25">
      <c r="A20" t="s">
        <v>1324</v>
      </c>
      <c r="B20" s="8" t="s">
        <v>1328</v>
      </c>
      <c r="C20" s="16">
        <v>-8.4545116286139255E-2</v>
      </c>
      <c r="D20" s="16">
        <v>0.32492559209427974</v>
      </c>
      <c r="E20" s="16">
        <v>0.13018586689732548</v>
      </c>
      <c r="F20" s="16">
        <v>-0.21667851080457368</v>
      </c>
      <c r="G20" s="16">
        <v>6.105828246642897E-2</v>
      </c>
      <c r="H20" s="16">
        <v>7.8125793884762373E-3</v>
      </c>
      <c r="I20" s="16">
        <v>5.6295226155355316E-2</v>
      </c>
    </row>
    <row r="21" spans="1:10" x14ac:dyDescent="0.25">
      <c r="A21" t="s">
        <v>1325</v>
      </c>
      <c r="B21" s="8" t="s">
        <v>1329</v>
      </c>
      <c r="C21" s="16">
        <v>-0.1046422809059131</v>
      </c>
      <c r="D21" s="16">
        <v>-1.8465774843314797E-3</v>
      </c>
      <c r="E21" s="16">
        <v>0.37356538085052637</v>
      </c>
      <c r="F21" s="16">
        <v>-0.8954834056217682</v>
      </c>
      <c r="G21" s="16">
        <v>0.13588220486867919</v>
      </c>
      <c r="H21" s="16">
        <v>-0.12416403439749057</v>
      </c>
      <c r="I21" s="16">
        <v>-0.20013376121486548</v>
      </c>
    </row>
    <row r="22" spans="1:10" x14ac:dyDescent="0.25">
      <c r="A22" t="s">
        <v>1326</v>
      </c>
      <c r="B22" s="8" t="s">
        <v>67</v>
      </c>
      <c r="C22" s="16">
        <v>1.3806387656821146</v>
      </c>
      <c r="D22" s="16">
        <v>0.51159690083158837</v>
      </c>
      <c r="E22" s="16">
        <v>-0.87747507407420411</v>
      </c>
      <c r="F22" s="16">
        <v>-0.65693168627910525</v>
      </c>
      <c r="G22" s="16">
        <v>-1.3317338503725518E-2</v>
      </c>
      <c r="H22" s="16">
        <v>-0.13855652626495285</v>
      </c>
      <c r="I22" s="16">
        <v>-3.7670276280182158E-2</v>
      </c>
    </row>
    <row r="23" spans="1:10" x14ac:dyDescent="0.25">
      <c r="A23" t="s">
        <v>66</v>
      </c>
      <c r="B23" s="8" t="s">
        <v>66</v>
      </c>
      <c r="C23" s="16">
        <v>1.382418202142496</v>
      </c>
      <c r="D23" s="16">
        <v>0.88810995678884552</v>
      </c>
      <c r="E23" s="16">
        <v>-0.69429658377016068</v>
      </c>
      <c r="F23" s="16">
        <v>-1.8614508711747249</v>
      </c>
      <c r="G23" s="16">
        <v>0.15854414211480616</v>
      </c>
      <c r="H23" s="16">
        <v>-0.35398949166163618</v>
      </c>
      <c r="I23" s="16">
        <v>-0.22221475290841397</v>
      </c>
    </row>
    <row r="25" spans="1:10" ht="28.35" customHeight="1" x14ac:dyDescent="0.25">
      <c r="A25" s="445" t="s">
        <v>1330</v>
      </c>
      <c r="B25" s="445"/>
      <c r="C25" s="445"/>
      <c r="D25" s="445"/>
      <c r="E25" s="445"/>
      <c r="F25" s="445"/>
      <c r="G25" s="445"/>
      <c r="H25" s="34"/>
      <c r="I25" s="34"/>
      <c r="J25" s="34"/>
    </row>
    <row r="26" spans="1:10" ht="24.6" customHeight="1" x14ac:dyDescent="0.25">
      <c r="A26" s="444" t="s">
        <v>969</v>
      </c>
      <c r="B26" s="444"/>
      <c r="C26" s="444"/>
      <c r="D26" s="444"/>
      <c r="E26" s="444"/>
      <c r="F26" s="444"/>
      <c r="G26" s="444"/>
      <c r="H26" s="47"/>
      <c r="I26" s="47"/>
      <c r="J26" s="47"/>
    </row>
  </sheetData>
  <mergeCells count="2">
    <mergeCell ref="A25:G25"/>
    <mergeCell ref="A26:G26"/>
  </mergeCells>
  <hyperlinks>
    <hyperlink ref="A5" location="Índice!A1" display="Índice" xr:uid="{07BC6C19-7AE9-4A72-8AB0-674345CB0EE0}"/>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6C24-E2A7-4930-8C8A-6C19C656CB98}">
  <sheetPr codeName="Sheet43">
    <tabColor theme="0" tint="-4.9989318521683403E-2"/>
  </sheetPr>
  <dimension ref="A5:J23"/>
  <sheetViews>
    <sheetView showGridLines="0" zoomScaleNormal="100" workbookViewId="0">
      <selection activeCell="A23" sqref="A23:G23"/>
    </sheetView>
  </sheetViews>
  <sheetFormatPr defaultRowHeight="15" x14ac:dyDescent="0.25"/>
  <cols>
    <col min="1" max="1" width="37.42578125" customWidth="1"/>
    <col min="2" max="2" width="29.85546875" customWidth="1"/>
  </cols>
  <sheetData>
    <row r="5" spans="1:9" x14ac:dyDescent="0.25">
      <c r="A5" s="39" t="s">
        <v>3</v>
      </c>
    </row>
    <row r="6" spans="1:9" ht="18.75" x14ac:dyDescent="0.25">
      <c r="A6" s="6" t="s">
        <v>180</v>
      </c>
    </row>
    <row r="7" spans="1:9" x14ac:dyDescent="0.25">
      <c r="A7" s="78" t="str">
        <f>+Índice!$A$50</f>
        <v>Parte I.2 Análise e projeções de finanças públicas/Part I.2 Analysis and projections of public finances</v>
      </c>
    </row>
    <row r="8" spans="1:9" ht="18.75" x14ac:dyDescent="0.25">
      <c r="A8" s="6"/>
    </row>
    <row r="9" spans="1:9" ht="18.75" x14ac:dyDescent="0.25">
      <c r="A9" s="6"/>
    </row>
    <row r="10" spans="1:9" x14ac:dyDescent="0.25">
      <c r="A10" s="40" t="s">
        <v>1332</v>
      </c>
    </row>
    <row r="11" spans="1:9" x14ac:dyDescent="0.25">
      <c r="A11" s="41" t="s">
        <v>1335</v>
      </c>
    </row>
    <row r="15" spans="1:9" x14ac:dyDescent="0.25">
      <c r="A15" s="42" t="s">
        <v>44</v>
      </c>
      <c r="C15" s="317" t="s">
        <v>1333</v>
      </c>
      <c r="D15" s="317" t="s">
        <v>1333</v>
      </c>
      <c r="E15" s="317" t="s">
        <v>1333</v>
      </c>
      <c r="F15" s="317" t="s">
        <v>1333</v>
      </c>
      <c r="G15" s="317" t="s">
        <v>1333</v>
      </c>
      <c r="H15" s="317" t="s">
        <v>1333</v>
      </c>
      <c r="I15" s="317"/>
    </row>
    <row r="16" spans="1:9" x14ac:dyDescent="0.25">
      <c r="C16" s="317" t="s">
        <v>1334</v>
      </c>
      <c r="D16" s="317" t="s">
        <v>1334</v>
      </c>
      <c r="E16" s="317" t="s">
        <v>1334</v>
      </c>
      <c r="F16" s="317" t="s">
        <v>1334</v>
      </c>
      <c r="G16" s="317" t="s">
        <v>1334</v>
      </c>
      <c r="H16" s="317" t="s">
        <v>1334</v>
      </c>
      <c r="I16" s="317"/>
    </row>
    <row r="17" spans="1:10" x14ac:dyDescent="0.25">
      <c r="E17" s="44"/>
    </row>
    <row r="18" spans="1:10" x14ac:dyDescent="0.25">
      <c r="C18" s="43">
        <v>2021</v>
      </c>
      <c r="D18" s="43">
        <v>2022</v>
      </c>
      <c r="E18" s="43">
        <v>2023</v>
      </c>
      <c r="F18" s="43" t="s">
        <v>904</v>
      </c>
      <c r="G18" s="43" t="s">
        <v>905</v>
      </c>
      <c r="H18" s="43" t="s">
        <v>906</v>
      </c>
    </row>
    <row r="19" spans="1:10" x14ac:dyDescent="0.25">
      <c r="A19" t="s">
        <v>1336</v>
      </c>
      <c r="B19" s="8" t="s">
        <v>1338</v>
      </c>
      <c r="C19" s="16">
        <v>0.43685790437518868</v>
      </c>
      <c r="D19" s="16">
        <v>3.8258573388983272</v>
      </c>
      <c r="E19" s="16">
        <v>7.5405187374372629</v>
      </c>
      <c r="F19" s="16">
        <v>17.627647442850012</v>
      </c>
      <c r="G19" s="16">
        <v>24.990997226251547</v>
      </c>
      <c r="H19" s="16">
        <v>24.592365073614452</v>
      </c>
      <c r="I19" s="16"/>
    </row>
    <row r="20" spans="1:10" x14ac:dyDescent="0.25">
      <c r="A20" t="s">
        <v>1337</v>
      </c>
      <c r="B20" s="8" t="s">
        <v>1339</v>
      </c>
      <c r="C20" s="16">
        <v>0</v>
      </c>
      <c r="D20" s="16">
        <v>2.0952879021578785E-2</v>
      </c>
      <c r="E20" s="16">
        <v>0.25416965927526808</v>
      </c>
      <c r="F20" s="16">
        <v>1.5123091261475496</v>
      </c>
      <c r="G20" s="16">
        <v>7.2633518053458914</v>
      </c>
      <c r="H20" s="16">
        <v>11.934972806782914</v>
      </c>
      <c r="I20" s="16"/>
    </row>
    <row r="22" spans="1:10" ht="28.35" customHeight="1" x14ac:dyDescent="0.25">
      <c r="A22" s="445" t="s">
        <v>1340</v>
      </c>
      <c r="B22" s="445"/>
      <c r="C22" s="445"/>
      <c r="D22" s="445"/>
      <c r="E22" s="445"/>
      <c r="F22" s="445"/>
      <c r="G22" s="445"/>
      <c r="H22" s="34"/>
      <c r="I22" s="34"/>
      <c r="J22" s="34"/>
    </row>
    <row r="23" spans="1:10" ht="24.6" customHeight="1" x14ac:dyDescent="0.25">
      <c r="A23" s="444" t="s">
        <v>1341</v>
      </c>
      <c r="B23" s="444"/>
      <c r="C23" s="444"/>
      <c r="D23" s="444"/>
      <c r="E23" s="444"/>
      <c r="F23" s="444"/>
      <c r="G23" s="444"/>
      <c r="H23" s="47"/>
      <c r="I23" s="47"/>
      <c r="J23" s="47"/>
    </row>
  </sheetData>
  <mergeCells count="2">
    <mergeCell ref="A22:G22"/>
    <mergeCell ref="A23:G23"/>
  </mergeCells>
  <hyperlinks>
    <hyperlink ref="A5" location="Índice!A1" display="Índice" xr:uid="{3CCC2DA8-DE0C-473C-AECC-C6B8443BA038}"/>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5070-03EA-401C-BC81-8DBBC7325706}">
  <sheetPr codeName="Sheet44">
    <tabColor theme="0" tint="-4.9989318521683403E-2"/>
  </sheetPr>
  <dimension ref="A5:O24"/>
  <sheetViews>
    <sheetView showGridLines="0" zoomScaleNormal="100" workbookViewId="0">
      <selection activeCell="A23" sqref="A23:L23"/>
    </sheetView>
  </sheetViews>
  <sheetFormatPr defaultRowHeight="15" x14ac:dyDescent="0.25"/>
  <cols>
    <col min="1" max="1" width="37.42578125" customWidth="1"/>
    <col min="2" max="2" width="29.85546875" customWidth="1"/>
  </cols>
  <sheetData>
    <row r="5" spans="1:14" x14ac:dyDescent="0.25">
      <c r="A5" s="39" t="s">
        <v>3</v>
      </c>
    </row>
    <row r="6" spans="1:14" ht="18.75" x14ac:dyDescent="0.25">
      <c r="A6" s="6" t="s">
        <v>180</v>
      </c>
    </row>
    <row r="7" spans="1:14" x14ac:dyDescent="0.25">
      <c r="A7" s="78" t="str">
        <f>+Índice!$A$50</f>
        <v>Parte I.2 Análise e projeções de finanças públicas/Part I.2 Analysis and projections of public finances</v>
      </c>
    </row>
    <row r="8" spans="1:14" ht="18.75" x14ac:dyDescent="0.25">
      <c r="A8" s="6"/>
    </row>
    <row r="9" spans="1:14" ht="18.75" x14ac:dyDescent="0.25">
      <c r="A9" s="6"/>
    </row>
    <row r="10" spans="1:14" x14ac:dyDescent="0.25">
      <c r="A10" s="40" t="s">
        <v>1342</v>
      </c>
    </row>
    <row r="11" spans="1:14" x14ac:dyDescent="0.25">
      <c r="A11" s="41" t="s">
        <v>1343</v>
      </c>
    </row>
    <row r="15" spans="1:14" x14ac:dyDescent="0.25">
      <c r="A15" s="42" t="s">
        <v>44</v>
      </c>
      <c r="C15" s="317" t="s">
        <v>1200</v>
      </c>
      <c r="D15" s="317" t="s">
        <v>1200</v>
      </c>
      <c r="E15" s="317" t="s">
        <v>1200</v>
      </c>
      <c r="F15" s="317" t="s">
        <v>1200</v>
      </c>
      <c r="G15" s="317" t="s">
        <v>1200</v>
      </c>
      <c r="H15" s="317" t="s">
        <v>1200</v>
      </c>
      <c r="I15" s="317" t="s">
        <v>1200</v>
      </c>
      <c r="J15" s="317" t="s">
        <v>1200</v>
      </c>
      <c r="K15" s="317" t="s">
        <v>1200</v>
      </c>
      <c r="L15" s="317" t="s">
        <v>1200</v>
      </c>
      <c r="M15" s="317" t="s">
        <v>1200</v>
      </c>
      <c r="N15" s="317"/>
    </row>
    <row r="16" spans="1:14" x14ac:dyDescent="0.25">
      <c r="C16" s="317" t="s">
        <v>1210</v>
      </c>
      <c r="D16" s="317" t="s">
        <v>1210</v>
      </c>
      <c r="E16" s="317" t="s">
        <v>1210</v>
      </c>
      <c r="F16" s="317" t="s">
        <v>1210</v>
      </c>
      <c r="G16" s="317" t="s">
        <v>1210</v>
      </c>
      <c r="H16" s="317" t="s">
        <v>1210</v>
      </c>
      <c r="I16" s="317" t="s">
        <v>1210</v>
      </c>
      <c r="J16" s="317" t="s">
        <v>1210</v>
      </c>
      <c r="K16" s="317" t="s">
        <v>1210</v>
      </c>
      <c r="L16" s="317" t="s">
        <v>1210</v>
      </c>
      <c r="M16" s="317" t="s">
        <v>1210</v>
      </c>
      <c r="N16" s="317"/>
    </row>
    <row r="17" spans="1:15" x14ac:dyDescent="0.25">
      <c r="E17" s="44"/>
      <c r="F17" s="44"/>
      <c r="G17" s="44"/>
      <c r="H17" s="44"/>
      <c r="I17" s="44"/>
      <c r="J17" s="44"/>
    </row>
    <row r="18" spans="1:15" x14ac:dyDescent="0.25">
      <c r="C18" s="43">
        <v>2016</v>
      </c>
      <c r="D18" s="43">
        <v>2017</v>
      </c>
      <c r="E18" s="43">
        <v>2018</v>
      </c>
      <c r="F18" s="43">
        <v>2019</v>
      </c>
      <c r="G18" s="43">
        <v>2020</v>
      </c>
      <c r="H18" s="43">
        <v>2021</v>
      </c>
      <c r="I18" s="43">
        <v>2022</v>
      </c>
      <c r="J18" s="43">
        <v>2023</v>
      </c>
      <c r="K18" s="43" t="s">
        <v>904</v>
      </c>
      <c r="L18" s="43" t="s">
        <v>905</v>
      </c>
      <c r="M18" s="43" t="s">
        <v>906</v>
      </c>
    </row>
    <row r="19" spans="1:15" x14ac:dyDescent="0.25">
      <c r="A19" t="s">
        <v>1344</v>
      </c>
      <c r="B19" s="8" t="s">
        <v>1346</v>
      </c>
      <c r="C19" s="16">
        <v>1.5417276603921271</v>
      </c>
      <c r="D19" s="16">
        <v>1.7843908060747589</v>
      </c>
      <c r="E19" s="16">
        <v>1.8472013945874295</v>
      </c>
      <c r="F19" s="16">
        <v>1.8213051526342063</v>
      </c>
      <c r="G19" s="16">
        <v>2.3149358734382184</v>
      </c>
      <c r="H19" s="16">
        <v>2.5740581932016564</v>
      </c>
      <c r="I19" s="16">
        <v>2.2618953667357968</v>
      </c>
      <c r="J19" s="16">
        <v>2.4024686689040333</v>
      </c>
      <c r="K19" s="16">
        <v>2.2533564319922132</v>
      </c>
      <c r="L19" s="16">
        <v>2.3819828605475215</v>
      </c>
      <c r="M19" s="16">
        <v>2.4162400005401974</v>
      </c>
      <c r="N19" s="16"/>
    </row>
    <row r="20" spans="1:15" x14ac:dyDescent="0.25">
      <c r="A20" t="s">
        <v>1345</v>
      </c>
      <c r="B20" s="8" t="s">
        <v>1347</v>
      </c>
      <c r="C20" s="16">
        <v>1.0058069618804679</v>
      </c>
      <c r="D20" s="16">
        <v>1.2505946452507006</v>
      </c>
      <c r="E20" s="16">
        <v>1.2770734011061144</v>
      </c>
      <c r="F20" s="16">
        <v>1.2842607529361634</v>
      </c>
      <c r="G20" s="16">
        <v>1.6564709952517978</v>
      </c>
      <c r="H20" s="16">
        <v>1.7977733055292229</v>
      </c>
      <c r="I20" s="16">
        <v>1.6513484512109475</v>
      </c>
      <c r="J20" s="16">
        <v>1.7737849554416403</v>
      </c>
      <c r="K20" s="16">
        <v>1.7737849554416407</v>
      </c>
      <c r="L20" s="16">
        <v>1.7737849554416403</v>
      </c>
      <c r="M20" s="16">
        <v>1.7737849554416403</v>
      </c>
      <c r="N20" s="16"/>
    </row>
    <row r="21" spans="1:15" x14ac:dyDescent="0.25">
      <c r="A21" t="s">
        <v>66</v>
      </c>
      <c r="B21" t="s">
        <v>66</v>
      </c>
      <c r="C21" s="16">
        <v>1.5417276603921271</v>
      </c>
      <c r="D21" s="16">
        <v>1.7843908060747589</v>
      </c>
      <c r="E21" s="16">
        <v>1.8472013945874295</v>
      </c>
      <c r="F21" s="16">
        <v>1.8213051526342063</v>
      </c>
      <c r="G21" s="16">
        <v>2.3149358734382184</v>
      </c>
      <c r="H21" s="16">
        <v>2.5844064181430415</v>
      </c>
      <c r="I21" s="16">
        <v>2.38222691423702</v>
      </c>
      <c r="J21" s="16">
        <v>2.5396369131909431</v>
      </c>
      <c r="K21" s="16">
        <v>2.9646209578375533</v>
      </c>
      <c r="L21" s="16">
        <v>3.2601541245398882</v>
      </c>
      <c r="M21" s="16">
        <v>3.4316055808877239</v>
      </c>
      <c r="N21" s="16"/>
    </row>
    <row r="23" spans="1:15" ht="28.35" customHeight="1" x14ac:dyDescent="0.25">
      <c r="A23" s="445" t="s">
        <v>1348</v>
      </c>
      <c r="B23" s="445"/>
      <c r="C23" s="445"/>
      <c r="D23" s="445"/>
      <c r="E23" s="445"/>
      <c r="F23" s="445"/>
      <c r="G23" s="445"/>
      <c r="H23" s="445"/>
      <c r="I23" s="445"/>
      <c r="J23" s="445"/>
      <c r="K23" s="445"/>
      <c r="L23" s="445"/>
      <c r="M23" s="34"/>
      <c r="N23" s="34"/>
      <c r="O23" s="34"/>
    </row>
    <row r="24" spans="1:15" ht="24.6" customHeight="1" x14ac:dyDescent="0.25">
      <c r="A24" s="444" t="s">
        <v>1349</v>
      </c>
      <c r="B24" s="444"/>
      <c r="C24" s="444"/>
      <c r="D24" s="444"/>
      <c r="E24" s="444"/>
      <c r="F24" s="444"/>
      <c r="G24" s="444"/>
      <c r="H24" s="444"/>
      <c r="I24" s="444"/>
      <c r="J24" s="444"/>
      <c r="K24" s="444"/>
      <c r="L24" s="444"/>
      <c r="M24" s="47"/>
      <c r="N24" s="47"/>
      <c r="O24" s="47"/>
    </row>
  </sheetData>
  <mergeCells count="2">
    <mergeCell ref="A23:L23"/>
    <mergeCell ref="A24:L24"/>
  </mergeCells>
  <hyperlinks>
    <hyperlink ref="A5" location="Índice!A1" display="Índice" xr:uid="{2BFF02DB-4E0F-49CC-B56F-54792F273335}"/>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7904-A8EE-4E3F-86D0-44681C7BE498}">
  <sheetPr codeName="Sheet45">
    <tabColor theme="0" tint="-4.9989318521683403E-2"/>
  </sheetPr>
  <dimension ref="A5:J43"/>
  <sheetViews>
    <sheetView showGridLines="0" zoomScaleNormal="100" workbookViewId="0">
      <selection activeCell="I25" sqref="I25"/>
    </sheetView>
  </sheetViews>
  <sheetFormatPr defaultRowHeight="15" x14ac:dyDescent="0.25"/>
  <cols>
    <col min="1" max="2" width="20.5703125" customWidth="1"/>
  </cols>
  <sheetData>
    <row r="5" spans="1:5" x14ac:dyDescent="0.25">
      <c r="A5" s="39" t="s">
        <v>3</v>
      </c>
    </row>
    <row r="6" spans="1:5" ht="18.75" x14ac:dyDescent="0.25">
      <c r="A6" s="6" t="s">
        <v>180</v>
      </c>
    </row>
    <row r="7" spans="1:5" x14ac:dyDescent="0.25">
      <c r="A7" s="78" t="str">
        <f>+Índice!$A$50</f>
        <v>Parte I.2 Análise e projeções de finanças públicas/Part I.2 Analysis and projections of public finances</v>
      </c>
    </row>
    <row r="8" spans="1:5" ht="18.75" x14ac:dyDescent="0.25">
      <c r="A8" s="6"/>
    </row>
    <row r="9" spans="1:5" ht="18.75" x14ac:dyDescent="0.25">
      <c r="A9" s="6"/>
    </row>
    <row r="10" spans="1:5" x14ac:dyDescent="0.25">
      <c r="A10" s="40" t="s">
        <v>1350</v>
      </c>
    </row>
    <row r="11" spans="1:5" x14ac:dyDescent="0.25">
      <c r="A11" s="41" t="s">
        <v>1351</v>
      </c>
    </row>
    <row r="15" spans="1:5" x14ac:dyDescent="0.25">
      <c r="A15" s="42" t="s">
        <v>44</v>
      </c>
      <c r="C15" s="317" t="s">
        <v>45</v>
      </c>
      <c r="D15" s="317" t="s">
        <v>45</v>
      </c>
      <c r="E15" s="317" t="s">
        <v>45</v>
      </c>
    </row>
    <row r="16" spans="1:5" x14ac:dyDescent="0.25">
      <c r="C16" s="318" t="s">
        <v>46</v>
      </c>
      <c r="D16" s="318" t="s">
        <v>46</v>
      </c>
      <c r="E16" s="318" t="s">
        <v>46</v>
      </c>
    </row>
    <row r="17" spans="1:5" x14ac:dyDescent="0.25">
      <c r="C17" s="318"/>
      <c r="D17" s="318"/>
      <c r="E17" s="318"/>
    </row>
    <row r="18" spans="1:5" x14ac:dyDescent="0.25">
      <c r="C18">
        <v>2019</v>
      </c>
      <c r="D18">
        <v>2023</v>
      </c>
      <c r="E18" s="43" t="s">
        <v>905</v>
      </c>
    </row>
    <row r="20" spans="1:5" x14ac:dyDescent="0.25">
      <c r="A20" t="s">
        <v>57</v>
      </c>
      <c r="B20" s="8" t="s">
        <v>57</v>
      </c>
      <c r="C20" s="16">
        <v>8.5</v>
      </c>
      <c r="D20" s="16">
        <v>19.600000000000001</v>
      </c>
      <c r="E20" s="16">
        <v>24.6</v>
      </c>
    </row>
    <row r="21" spans="1:5" x14ac:dyDescent="0.25">
      <c r="A21" t="s">
        <v>53</v>
      </c>
      <c r="B21" s="8" t="s">
        <v>53</v>
      </c>
      <c r="C21" s="16">
        <v>22.4</v>
      </c>
      <c r="D21" s="16">
        <v>25.7</v>
      </c>
      <c r="E21" s="16">
        <v>28.5</v>
      </c>
    </row>
    <row r="22" spans="1:5" x14ac:dyDescent="0.25">
      <c r="A22" t="s">
        <v>52</v>
      </c>
      <c r="B22" s="8" t="s">
        <v>52</v>
      </c>
      <c r="C22" s="16">
        <v>35.799999999999997</v>
      </c>
      <c r="D22" s="16">
        <v>38.299999999999997</v>
      </c>
      <c r="E22" s="16">
        <v>41.6</v>
      </c>
    </row>
    <row r="23" spans="1:5" x14ac:dyDescent="0.25">
      <c r="A23" t="s">
        <v>58</v>
      </c>
      <c r="B23" s="8" t="s">
        <v>58</v>
      </c>
      <c r="C23" s="16">
        <v>36.700000000000003</v>
      </c>
      <c r="D23" s="16">
        <v>43.6</v>
      </c>
      <c r="E23" s="16">
        <v>46.3</v>
      </c>
    </row>
    <row r="24" spans="1:5" x14ac:dyDescent="0.25">
      <c r="A24" t="s">
        <v>47</v>
      </c>
      <c r="B24" s="8" t="s">
        <v>47</v>
      </c>
      <c r="C24" s="16">
        <v>57.1</v>
      </c>
      <c r="D24" s="16">
        <v>43.7</v>
      </c>
      <c r="E24" s="16">
        <v>41.3</v>
      </c>
    </row>
    <row r="25" spans="1:5" x14ac:dyDescent="0.25">
      <c r="A25" t="s">
        <v>54</v>
      </c>
      <c r="B25" s="8" t="s">
        <v>54</v>
      </c>
      <c r="C25" s="16">
        <v>48.6</v>
      </c>
      <c r="D25" s="16">
        <v>46.5</v>
      </c>
      <c r="E25" s="16">
        <v>48.400000000000013</v>
      </c>
    </row>
    <row r="26" spans="1:5" x14ac:dyDescent="0.25">
      <c r="A26" t="s">
        <v>63</v>
      </c>
      <c r="B26" s="8" t="s">
        <v>63</v>
      </c>
      <c r="C26" s="16">
        <v>40</v>
      </c>
      <c r="D26" s="16">
        <v>50.400000000000013</v>
      </c>
      <c r="E26" s="16">
        <v>52.6</v>
      </c>
    </row>
    <row r="27" spans="1:5" x14ac:dyDescent="0.25">
      <c r="A27" t="s">
        <v>65</v>
      </c>
      <c r="B27" s="8" t="s">
        <v>65</v>
      </c>
      <c r="C27" s="16">
        <v>48</v>
      </c>
      <c r="D27" s="16">
        <v>56</v>
      </c>
      <c r="E27" s="16">
        <v>59.9</v>
      </c>
    </row>
    <row r="28" spans="1:5" x14ac:dyDescent="0.25">
      <c r="A28" t="s">
        <v>1195</v>
      </c>
      <c r="B28" s="8" t="s">
        <v>1195</v>
      </c>
      <c r="C28" s="16">
        <v>70.400000000000006</v>
      </c>
      <c r="D28" s="16">
        <v>63</v>
      </c>
      <c r="E28" s="16">
        <v>59.1</v>
      </c>
    </row>
    <row r="29" spans="1:5" x14ac:dyDescent="0.25">
      <c r="A29" t="s">
        <v>50</v>
      </c>
      <c r="B29" s="8" t="s">
        <v>50</v>
      </c>
      <c r="C29" s="16">
        <v>59.6</v>
      </c>
      <c r="D29" s="16">
        <v>63.6</v>
      </c>
      <c r="E29" s="16">
        <v>62.2</v>
      </c>
    </row>
    <row r="30" spans="1:5" x14ac:dyDescent="0.25">
      <c r="A30" t="s">
        <v>59</v>
      </c>
      <c r="B30" s="8" t="s">
        <v>59</v>
      </c>
      <c r="C30" s="16">
        <v>65.400000000000006</v>
      </c>
      <c r="D30" s="16">
        <v>69.2</v>
      </c>
      <c r="E30" s="16">
        <v>66.400000000000006</v>
      </c>
    </row>
    <row r="31" spans="1:5" x14ac:dyDescent="0.25">
      <c r="A31" t="s">
        <v>56</v>
      </c>
      <c r="B31" s="8" t="s">
        <v>56</v>
      </c>
      <c r="C31" s="16">
        <v>64.900000000000006</v>
      </c>
      <c r="D31" s="16">
        <v>75.8</v>
      </c>
      <c r="E31" s="16">
        <v>82.4</v>
      </c>
    </row>
    <row r="32" spans="1:5" x14ac:dyDescent="0.25">
      <c r="A32" t="s">
        <v>48</v>
      </c>
      <c r="B32" s="8" t="s">
        <v>48</v>
      </c>
      <c r="C32" s="16">
        <v>93</v>
      </c>
      <c r="D32" s="16">
        <v>77.300000000000011</v>
      </c>
      <c r="E32" s="16">
        <v>65.400000000000006</v>
      </c>
    </row>
    <row r="33" spans="1:10" x14ac:dyDescent="0.25">
      <c r="A33" t="s">
        <v>51</v>
      </c>
      <c r="B33" s="8" t="s">
        <v>51</v>
      </c>
      <c r="C33" s="16">
        <v>70.600000000000009</v>
      </c>
      <c r="D33" s="16">
        <v>77.800000000000011</v>
      </c>
      <c r="E33" s="16">
        <v>77.800000000000011</v>
      </c>
    </row>
    <row r="34" spans="1:10" x14ac:dyDescent="0.25">
      <c r="A34" t="s">
        <v>55</v>
      </c>
      <c r="B34" s="8" t="s">
        <v>1191</v>
      </c>
      <c r="C34" s="16">
        <v>86</v>
      </c>
      <c r="D34" s="16">
        <v>90</v>
      </c>
      <c r="E34" s="16">
        <v>90.4</v>
      </c>
    </row>
    <row r="35" spans="1:10" x14ac:dyDescent="0.25">
      <c r="A35" t="s">
        <v>49</v>
      </c>
      <c r="B35" s="8" t="s">
        <v>49</v>
      </c>
      <c r="C35" s="16">
        <v>116.6</v>
      </c>
      <c r="D35" s="16">
        <v>99.1</v>
      </c>
      <c r="E35" s="16">
        <v>87.220414196476838</v>
      </c>
    </row>
    <row r="36" spans="1:10" x14ac:dyDescent="0.25">
      <c r="A36" t="s">
        <v>64</v>
      </c>
      <c r="B36" s="8" t="s">
        <v>64</v>
      </c>
      <c r="C36" s="16">
        <v>97.600000000000009</v>
      </c>
      <c r="D36" s="16">
        <v>105.2</v>
      </c>
      <c r="E36" s="16">
        <v>106.6</v>
      </c>
    </row>
    <row r="37" spans="1:10" x14ac:dyDescent="0.25">
      <c r="A37" t="s">
        <v>60</v>
      </c>
      <c r="B37" s="8" t="s">
        <v>60</v>
      </c>
      <c r="C37" s="16">
        <v>98.2</v>
      </c>
      <c r="D37" s="16">
        <v>107.7</v>
      </c>
      <c r="E37" s="16">
        <v>104.8</v>
      </c>
    </row>
    <row r="38" spans="1:10" x14ac:dyDescent="0.25">
      <c r="A38" t="s">
        <v>62</v>
      </c>
      <c r="B38" s="8" t="s">
        <v>62</v>
      </c>
      <c r="C38" s="16">
        <v>97.9</v>
      </c>
      <c r="D38" s="16">
        <v>110.6</v>
      </c>
      <c r="E38" s="16">
        <v>113.8</v>
      </c>
    </row>
    <row r="39" spans="1:10" x14ac:dyDescent="0.25">
      <c r="A39" t="s">
        <v>61</v>
      </c>
      <c r="B39" s="8" t="s">
        <v>61</v>
      </c>
      <c r="C39" s="16">
        <v>134.19999999999999</v>
      </c>
      <c r="D39" s="16">
        <v>137.30000000000001</v>
      </c>
      <c r="E39" s="16">
        <v>141.69999999999999</v>
      </c>
    </row>
    <row r="40" spans="1:10" x14ac:dyDescent="0.25">
      <c r="A40" t="s">
        <v>1196</v>
      </c>
      <c r="B40" t="s">
        <v>1196</v>
      </c>
      <c r="C40">
        <v>180.6</v>
      </c>
      <c r="D40">
        <v>161.9</v>
      </c>
      <c r="E40">
        <v>149.30000000000001</v>
      </c>
    </row>
    <row r="42" spans="1:10" ht="51.95" customHeight="1" x14ac:dyDescent="0.25">
      <c r="A42" s="443" t="s">
        <v>1352</v>
      </c>
      <c r="B42" s="443"/>
      <c r="C42" s="443"/>
      <c r="D42" s="443"/>
      <c r="E42" s="443"/>
      <c r="F42" s="443"/>
      <c r="G42" s="443"/>
      <c r="H42" s="443"/>
      <c r="I42" s="443"/>
      <c r="J42" s="443"/>
    </row>
    <row r="43" spans="1:10" ht="51.95" customHeight="1" x14ac:dyDescent="0.25">
      <c r="A43" s="444" t="s">
        <v>1353</v>
      </c>
      <c r="B43" s="444"/>
      <c r="C43" s="444"/>
      <c r="D43" s="444"/>
      <c r="E43" s="444"/>
      <c r="F43" s="444"/>
      <c r="G43" s="444"/>
      <c r="H43" s="444"/>
      <c r="I43" s="444"/>
      <c r="J43" s="444"/>
    </row>
  </sheetData>
  <mergeCells count="2">
    <mergeCell ref="A42:J42"/>
    <mergeCell ref="A43:J43"/>
  </mergeCells>
  <hyperlinks>
    <hyperlink ref="A5" location="Índice!A1" display="Índice" xr:uid="{D271FD5A-5085-4EF3-B182-19B57B5E0253}"/>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440E-9F04-47F8-914F-A578C5917570}">
  <sheetPr codeName="Sheet46">
    <tabColor theme="0" tint="-4.9989318521683403E-2"/>
  </sheetPr>
  <dimension ref="A5:H28"/>
  <sheetViews>
    <sheetView showGridLines="0" zoomScaleNormal="100" workbookViewId="0">
      <selection activeCell="G23" sqref="G23"/>
    </sheetView>
  </sheetViews>
  <sheetFormatPr defaultRowHeight="15" x14ac:dyDescent="0.25"/>
  <cols>
    <col min="1" max="1" width="37.42578125" customWidth="1"/>
    <col min="2" max="2" width="29.85546875" customWidth="1"/>
  </cols>
  <sheetData>
    <row r="5" spans="1:7" x14ac:dyDescent="0.25">
      <c r="A5" s="39" t="s">
        <v>3</v>
      </c>
    </row>
    <row r="6" spans="1:7" ht="18.75" x14ac:dyDescent="0.25">
      <c r="A6" s="6" t="s">
        <v>180</v>
      </c>
    </row>
    <row r="7" spans="1:7" x14ac:dyDescent="0.25">
      <c r="A7" s="78" t="str">
        <f>+Índice!$A$50</f>
        <v>Parte I.2 Análise e projeções de finanças públicas/Part I.2 Analysis and projections of public finances</v>
      </c>
    </row>
    <row r="8" spans="1:7" ht="18.75" x14ac:dyDescent="0.25">
      <c r="A8" s="6"/>
    </row>
    <row r="9" spans="1:7" ht="18.75" x14ac:dyDescent="0.25">
      <c r="A9" s="6"/>
    </row>
    <row r="10" spans="1:7" x14ac:dyDescent="0.25">
      <c r="A10" s="40" t="s">
        <v>1354</v>
      </c>
    </row>
    <row r="11" spans="1:7" x14ac:dyDescent="0.25">
      <c r="A11" s="41" t="s">
        <v>1355</v>
      </c>
    </row>
    <row r="15" spans="1:7" x14ac:dyDescent="0.25">
      <c r="A15" s="42" t="s">
        <v>44</v>
      </c>
      <c r="C15" s="317" t="s">
        <v>1194</v>
      </c>
      <c r="D15" s="317" t="s">
        <v>1194</v>
      </c>
      <c r="E15" s="317" t="s">
        <v>1194</v>
      </c>
      <c r="F15" s="317" t="s">
        <v>1194</v>
      </c>
      <c r="G15" s="317"/>
    </row>
    <row r="16" spans="1:7" x14ac:dyDescent="0.25">
      <c r="C16" s="317" t="s">
        <v>1192</v>
      </c>
      <c r="D16" s="317" t="s">
        <v>1192</v>
      </c>
      <c r="E16" s="317" t="s">
        <v>1192</v>
      </c>
      <c r="F16" s="317" t="s">
        <v>1192</v>
      </c>
      <c r="G16" s="317"/>
    </row>
    <row r="17" spans="1:8" x14ac:dyDescent="0.25">
      <c r="C17" s="44"/>
    </row>
    <row r="18" spans="1:8" x14ac:dyDescent="0.25">
      <c r="C18" s="43">
        <v>2023</v>
      </c>
      <c r="D18" s="43" t="s">
        <v>904</v>
      </c>
      <c r="E18" s="43" t="s">
        <v>905</v>
      </c>
      <c r="F18" s="43" t="s">
        <v>906</v>
      </c>
    </row>
    <row r="19" spans="1:8" x14ac:dyDescent="0.25">
      <c r="A19" t="s">
        <v>1356</v>
      </c>
      <c r="B19" s="8" t="s">
        <v>1362</v>
      </c>
      <c r="C19" s="16">
        <v>2.1663118752581259</v>
      </c>
      <c r="D19" s="16">
        <v>2.2771539106458243</v>
      </c>
      <c r="E19" s="16">
        <v>2.1991908819365156</v>
      </c>
      <c r="F19" s="16">
        <v>2.1243755838111249</v>
      </c>
      <c r="G19" s="16"/>
    </row>
    <row r="20" spans="1:8" x14ac:dyDescent="0.25">
      <c r="A20" t="s">
        <v>1357</v>
      </c>
      <c r="B20" s="8" t="s">
        <v>1363</v>
      </c>
      <c r="C20" s="16">
        <v>-3.3691248597901664</v>
      </c>
      <c r="D20" s="16">
        <v>-3.3153320374290369</v>
      </c>
      <c r="E20" s="16">
        <v>-2.9784969306750577</v>
      </c>
      <c r="F20" s="16">
        <v>-2.768207592784929</v>
      </c>
      <c r="G20" s="16"/>
    </row>
    <row r="21" spans="1:8" x14ac:dyDescent="0.25">
      <c r="A21" t="s">
        <v>1358</v>
      </c>
      <c r="B21" s="8" t="s">
        <v>1364</v>
      </c>
      <c r="C21" s="16">
        <v>-2.3159459565064511</v>
      </c>
      <c r="D21" s="16">
        <v>0</v>
      </c>
      <c r="E21" s="16">
        <v>0</v>
      </c>
      <c r="F21" s="16">
        <v>0</v>
      </c>
      <c r="G21" s="16"/>
    </row>
    <row r="22" spans="1:8" x14ac:dyDescent="0.25">
      <c r="A22" t="s">
        <v>1359</v>
      </c>
      <c r="B22" s="8" t="s">
        <v>1365</v>
      </c>
      <c r="C22" s="16">
        <v>-7.3211578981342091</v>
      </c>
      <c r="D22" s="16">
        <v>-3.5862811232118061</v>
      </c>
      <c r="E22" s="16">
        <v>-2.4128927465816967</v>
      </c>
      <c r="F22" s="16">
        <v>-2.0124313644448901</v>
      </c>
      <c r="G22" s="16"/>
    </row>
    <row r="23" spans="1:8" x14ac:dyDescent="0.25">
      <c r="A23" t="s">
        <v>1360</v>
      </c>
      <c r="B23" s="8" t="s">
        <v>1366</v>
      </c>
      <c r="C23" s="16">
        <v>-2.4857781255323568</v>
      </c>
      <c r="D23" s="16">
        <v>-1.9783432876835083</v>
      </c>
      <c r="E23" s="16">
        <v>-2.0738104466646097</v>
      </c>
      <c r="F23" s="16">
        <v>-1.9056782997299835</v>
      </c>
      <c r="G23" s="16"/>
    </row>
    <row r="24" spans="1:8" x14ac:dyDescent="0.25">
      <c r="A24" t="s">
        <v>1361</v>
      </c>
      <c r="B24" s="8" t="s">
        <v>1367</v>
      </c>
      <c r="C24" s="16">
        <v>-13.325694964705065</v>
      </c>
      <c r="D24" s="16">
        <v>-6.6028025376785138</v>
      </c>
      <c r="E24" s="16">
        <v>-5.2660092419848468</v>
      </c>
      <c r="F24" s="16">
        <v>-4.5619416731486808</v>
      </c>
      <c r="G24" s="16"/>
    </row>
    <row r="25" spans="1:8" x14ac:dyDescent="0.25">
      <c r="C25" s="16"/>
      <c r="D25" s="16"/>
      <c r="E25" s="16"/>
      <c r="F25" s="16"/>
      <c r="G25" s="16"/>
    </row>
    <row r="27" spans="1:8" ht="44.45" customHeight="1" x14ac:dyDescent="0.25">
      <c r="A27" s="445" t="s">
        <v>1368</v>
      </c>
      <c r="B27" s="445"/>
      <c r="C27" s="445"/>
      <c r="D27" s="445"/>
      <c r="E27" s="445"/>
      <c r="F27" s="445"/>
      <c r="G27" s="34"/>
      <c r="H27" s="34"/>
    </row>
    <row r="28" spans="1:8" ht="44.45" customHeight="1" x14ac:dyDescent="0.25">
      <c r="A28" s="444" t="s">
        <v>1369</v>
      </c>
      <c r="B28" s="444"/>
      <c r="C28" s="444"/>
      <c r="D28" s="444"/>
      <c r="E28" s="444"/>
      <c r="F28" s="444"/>
      <c r="G28" s="47"/>
      <c r="H28" s="47"/>
    </row>
  </sheetData>
  <mergeCells count="2">
    <mergeCell ref="A27:F27"/>
    <mergeCell ref="A28:F28"/>
  </mergeCells>
  <hyperlinks>
    <hyperlink ref="A5" location="Índice!A1" display="Índice" xr:uid="{7163649C-A836-44FD-9425-C4637A07E54F}"/>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297E-C7CC-4FB5-8E79-F23A511485CE}">
  <sheetPr codeName="Sheet47">
    <tabColor theme="0" tint="-4.9989318521683403E-2"/>
  </sheetPr>
  <dimension ref="A4:N22"/>
  <sheetViews>
    <sheetView showGridLines="0" zoomScaleNormal="100" workbookViewId="0">
      <selection activeCell="A23" sqref="A23"/>
    </sheetView>
  </sheetViews>
  <sheetFormatPr defaultRowHeight="15" x14ac:dyDescent="0.25"/>
  <cols>
    <col min="1" max="2" width="30.5703125" customWidth="1"/>
    <col min="3" max="11" width="12.5703125" customWidth="1"/>
    <col min="12" max="14" width="10.42578125" bestFit="1" customWidth="1"/>
  </cols>
  <sheetData>
    <row r="4" spans="1:11" x14ac:dyDescent="0.25">
      <c r="A4" s="39" t="s">
        <v>3</v>
      </c>
    </row>
    <row r="5" spans="1:11" ht="18.75" x14ac:dyDescent="0.25">
      <c r="A5" s="6" t="s">
        <v>180</v>
      </c>
    </row>
    <row r="6" spans="1:11" x14ac:dyDescent="0.25">
      <c r="A6" s="78" t="str">
        <f>+Índice!A70</f>
        <v>Caixa 5 - O referencial para a despesa pública utilizado nas regras orçamentais europeias e as medidas de política orçamental para os próximos anos/Box 5 - The expenditure benchmark used in European fiscal rules and the budgetary policy measures for the coming years</v>
      </c>
    </row>
    <row r="7" spans="1:11" ht="18.75" x14ac:dyDescent="0.25">
      <c r="A7" s="6"/>
    </row>
    <row r="8" spans="1:11" ht="18.75" x14ac:dyDescent="0.25">
      <c r="A8" s="6"/>
    </row>
    <row r="9" spans="1:11" x14ac:dyDescent="0.25">
      <c r="A9" s="7"/>
    </row>
    <row r="10" spans="1:11" x14ac:dyDescent="0.25">
      <c r="A10" s="40" t="s">
        <v>1588</v>
      </c>
    </row>
    <row r="11" spans="1:11" x14ac:dyDescent="0.25">
      <c r="A11" s="41" t="s">
        <v>1599</v>
      </c>
    </row>
    <row r="14" spans="1:11" x14ac:dyDescent="0.25">
      <c r="A14" s="42" t="s">
        <v>44</v>
      </c>
      <c r="C14" s="349" t="s">
        <v>1373</v>
      </c>
      <c r="D14" s="349" t="s">
        <v>1373</v>
      </c>
      <c r="E14" s="349" t="s">
        <v>1373</v>
      </c>
      <c r="F14" s="349" t="s">
        <v>1373</v>
      </c>
      <c r="G14" s="349" t="s">
        <v>1373</v>
      </c>
      <c r="H14" s="349" t="s">
        <v>1373</v>
      </c>
      <c r="I14" s="349" t="s">
        <v>1373</v>
      </c>
      <c r="J14" s="349" t="s">
        <v>1373</v>
      </c>
      <c r="K14" s="349" t="s">
        <v>1373</v>
      </c>
    </row>
    <row r="15" spans="1:11" x14ac:dyDescent="0.25">
      <c r="C15" s="350" t="s">
        <v>1374</v>
      </c>
      <c r="D15" s="350" t="s">
        <v>1374</v>
      </c>
      <c r="E15" s="350" t="s">
        <v>1374</v>
      </c>
      <c r="F15" s="350" t="s">
        <v>1374</v>
      </c>
      <c r="G15" s="350" t="s">
        <v>1374</v>
      </c>
      <c r="H15" s="350" t="s">
        <v>1374</v>
      </c>
      <c r="I15" s="350" t="s">
        <v>1374</v>
      </c>
      <c r="J15" s="350" t="s">
        <v>1374</v>
      </c>
      <c r="K15" s="350" t="s">
        <v>1374</v>
      </c>
    </row>
    <row r="16" spans="1:11" x14ac:dyDescent="0.25">
      <c r="C16" s="350"/>
      <c r="D16" s="350"/>
      <c r="E16" s="350"/>
      <c r="F16" s="350"/>
      <c r="G16" s="350"/>
      <c r="H16" s="350"/>
      <c r="I16" s="350"/>
      <c r="J16" s="350"/>
      <c r="K16" s="350"/>
    </row>
    <row r="17" spans="1:14" x14ac:dyDescent="0.25">
      <c r="C17" s="43">
        <v>2015</v>
      </c>
      <c r="D17" s="43">
        <v>2016</v>
      </c>
      <c r="E17" s="43">
        <v>2017</v>
      </c>
      <c r="F17" s="43">
        <v>2018</v>
      </c>
      <c r="G17" s="43">
        <v>2019</v>
      </c>
      <c r="H17" s="43">
        <v>2020</v>
      </c>
      <c r="I17" s="43">
        <v>2021</v>
      </c>
      <c r="J17" s="43">
        <v>2022</v>
      </c>
      <c r="K17" s="43">
        <v>2023</v>
      </c>
    </row>
    <row r="18" spans="1:14" x14ac:dyDescent="0.25">
      <c r="A18" t="s">
        <v>1375</v>
      </c>
      <c r="B18" s="8" t="s">
        <v>1377</v>
      </c>
      <c r="C18" s="351">
        <v>8.0630012369360238E-2</v>
      </c>
      <c r="D18" s="351">
        <v>1.4683299167741428</v>
      </c>
      <c r="E18" s="351">
        <v>2.5115154874842922</v>
      </c>
      <c r="F18" s="351">
        <v>4.9700201298708073</v>
      </c>
      <c r="G18" s="351">
        <v>4.0451291197287373</v>
      </c>
      <c r="H18" s="351">
        <v>9.702841871093776</v>
      </c>
      <c r="I18" s="351">
        <v>4.4142958865446911</v>
      </c>
      <c r="J18" s="351">
        <v>7.2923170415605529</v>
      </c>
      <c r="K18" s="351">
        <v>4.1492823260181231</v>
      </c>
      <c r="L18" s="227"/>
      <c r="M18" s="227"/>
      <c r="N18" s="227"/>
    </row>
    <row r="19" spans="1:14" x14ac:dyDescent="0.25">
      <c r="A19" t="s">
        <v>1376</v>
      </c>
      <c r="B19" s="8" t="s">
        <v>1378</v>
      </c>
      <c r="C19" s="227">
        <v>2.4666854075220179</v>
      </c>
      <c r="D19" s="227">
        <v>2.6589964737990801</v>
      </c>
      <c r="E19" s="227">
        <v>3.0466480714167465</v>
      </c>
      <c r="F19" s="227">
        <v>3.5459840810759591</v>
      </c>
      <c r="G19" s="227">
        <v>3.5055877972604232</v>
      </c>
      <c r="H19" s="227">
        <v>3.3145736586614793</v>
      </c>
      <c r="I19" s="227">
        <v>4.073094368336605</v>
      </c>
      <c r="J19" s="227">
        <v>6.9814819285912932</v>
      </c>
      <c r="K19" s="227">
        <v>9.4345607494089165</v>
      </c>
      <c r="L19" s="227"/>
      <c r="M19" s="227"/>
      <c r="N19" s="227"/>
    </row>
    <row r="20" spans="1:14" x14ac:dyDescent="0.25">
      <c r="B20" s="8"/>
      <c r="C20" s="45"/>
      <c r="D20" s="45"/>
      <c r="E20" s="45"/>
      <c r="F20" s="45"/>
      <c r="G20" s="45"/>
      <c r="H20" s="45"/>
      <c r="I20" s="45"/>
      <c r="J20" s="45"/>
      <c r="K20" s="45"/>
    </row>
    <row r="21" spans="1:14" ht="63" customHeight="1" x14ac:dyDescent="0.25">
      <c r="A21" s="446" t="s">
        <v>1379</v>
      </c>
      <c r="B21" s="446"/>
      <c r="C21" s="446"/>
      <c r="D21" s="446"/>
      <c r="E21" s="446"/>
      <c r="F21" s="446"/>
      <c r="G21" s="446"/>
      <c r="H21" s="446"/>
      <c r="I21" s="446"/>
      <c r="J21" s="446"/>
      <c r="K21" s="446"/>
    </row>
    <row r="22" spans="1:14" ht="56.45" customHeight="1" x14ac:dyDescent="0.25">
      <c r="A22" s="447" t="s">
        <v>1618</v>
      </c>
      <c r="B22" s="447"/>
      <c r="C22" s="447"/>
      <c r="D22" s="447"/>
      <c r="E22" s="447"/>
      <c r="F22" s="447"/>
      <c r="G22" s="447"/>
      <c r="H22" s="447"/>
      <c r="I22" s="447"/>
      <c r="J22" s="447"/>
      <c r="K22" s="447"/>
    </row>
  </sheetData>
  <mergeCells count="2">
    <mergeCell ref="A21:K21"/>
    <mergeCell ref="A22:K22"/>
  </mergeCells>
  <hyperlinks>
    <hyperlink ref="A4" location="Índice!A1" display="Índice" xr:uid="{F736CE3E-8C7C-4A57-8D91-59E2D9ED777D}"/>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AC26B-D857-47B8-9951-EC92CFCBCF81}">
  <sheetPr codeName="Sheet48">
    <tabColor theme="0" tint="-4.9989318521683403E-2"/>
  </sheetPr>
  <dimension ref="A5:K84"/>
  <sheetViews>
    <sheetView showGridLines="0" zoomScaleNormal="100" workbookViewId="0">
      <selection activeCell="C55" sqref="C55"/>
    </sheetView>
  </sheetViews>
  <sheetFormatPr defaultRowHeight="15" x14ac:dyDescent="0.25"/>
  <cols>
    <col min="1" max="1" width="90.5703125" customWidth="1"/>
    <col min="2" max="2" width="90.5703125" style="8" customWidth="1"/>
    <col min="3" max="3" width="12.5703125" customWidth="1"/>
  </cols>
  <sheetData>
    <row r="5" spans="1:4" x14ac:dyDescent="0.25">
      <c r="A5" s="39" t="s">
        <v>3</v>
      </c>
    </row>
    <row r="6" spans="1:4" ht="18.75" x14ac:dyDescent="0.25">
      <c r="A6" s="6" t="s">
        <v>180</v>
      </c>
    </row>
    <row r="7" spans="1:4" x14ac:dyDescent="0.25">
      <c r="A7" s="78" t="str">
        <f>+Índice!$A$70</f>
        <v>Caixa 5 - O referencial para a despesa pública utilizado nas regras orçamentais europeias e as medidas de política orçamental para os próximos anos/Box 5 - The expenditure benchmark used in European fiscal rules and the budgetary policy measures for the coming years</v>
      </c>
    </row>
    <row r="8" spans="1:4" ht="18.75" x14ac:dyDescent="0.25">
      <c r="A8" s="6"/>
    </row>
    <row r="9" spans="1:4" ht="18.75" x14ac:dyDescent="0.25">
      <c r="A9" s="6"/>
    </row>
    <row r="10" spans="1:4" x14ac:dyDescent="0.25">
      <c r="A10" s="40" t="s">
        <v>1587</v>
      </c>
    </row>
    <row r="11" spans="1:4" x14ac:dyDescent="0.25">
      <c r="A11" s="41" t="s">
        <v>1592</v>
      </c>
    </row>
    <row r="15" spans="1:4" x14ac:dyDescent="0.25">
      <c r="A15" s="42" t="s">
        <v>44</v>
      </c>
      <c r="C15" s="317" t="s">
        <v>69</v>
      </c>
      <c r="D15" s="317"/>
    </row>
    <row r="16" spans="1:4" x14ac:dyDescent="0.25">
      <c r="C16" s="317" t="s">
        <v>70</v>
      </c>
      <c r="D16" s="317"/>
    </row>
    <row r="17" spans="1:3" x14ac:dyDescent="0.25">
      <c r="C17" s="385"/>
    </row>
    <row r="18" spans="1:3" x14ac:dyDescent="0.25">
      <c r="A18" s="364" t="s">
        <v>1380</v>
      </c>
      <c r="B18" s="386" t="s">
        <v>1414</v>
      </c>
      <c r="C18" s="366">
        <v>5385</v>
      </c>
    </row>
    <row r="19" spans="1:3" x14ac:dyDescent="0.25">
      <c r="A19" s="387" t="s">
        <v>1381</v>
      </c>
      <c r="B19" s="388" t="s">
        <v>1415</v>
      </c>
      <c r="C19" s="366"/>
    </row>
    <row r="20" spans="1:3" ht="5.0999999999999996" customHeight="1" x14ac:dyDescent="0.25">
      <c r="A20" s="353"/>
      <c r="B20" s="378"/>
      <c r="C20" s="367"/>
    </row>
    <row r="21" spans="1:3" ht="5.0999999999999996" customHeight="1" x14ac:dyDescent="0.25">
      <c r="A21" s="352"/>
      <c r="B21" s="377"/>
      <c r="C21" s="366"/>
    </row>
    <row r="22" spans="1:3" x14ac:dyDescent="0.25">
      <c r="A22" s="359" t="s">
        <v>1382</v>
      </c>
      <c r="B22" s="365" t="s">
        <v>1416</v>
      </c>
      <c r="C22" s="366">
        <f>C29+C34</f>
        <v>5635</v>
      </c>
    </row>
    <row r="23" spans="1:3" x14ac:dyDescent="0.25">
      <c r="A23" s="354" t="s">
        <v>1383</v>
      </c>
      <c r="B23" s="354" t="s">
        <v>1417</v>
      </c>
      <c r="C23" s="368"/>
    </row>
    <row r="24" spans="1:3" x14ac:dyDescent="0.25">
      <c r="A24" s="355" t="s">
        <v>1384</v>
      </c>
      <c r="B24" s="379" t="s">
        <v>1418</v>
      </c>
      <c r="C24" s="369">
        <v>1050</v>
      </c>
    </row>
    <row r="25" spans="1:3" x14ac:dyDescent="0.25">
      <c r="A25" s="355" t="s">
        <v>1385</v>
      </c>
      <c r="B25" s="379" t="s">
        <v>1419</v>
      </c>
      <c r="C25" s="369">
        <v>1900</v>
      </c>
    </row>
    <row r="26" spans="1:3" x14ac:dyDescent="0.25">
      <c r="A26" s="355" t="s">
        <v>1386</v>
      </c>
      <c r="B26" s="379" t="s">
        <v>1420</v>
      </c>
      <c r="C26" s="369">
        <v>1100</v>
      </c>
    </row>
    <row r="27" spans="1:3" ht="15.75" x14ac:dyDescent="0.25">
      <c r="A27" s="355" t="s">
        <v>1387</v>
      </c>
      <c r="B27" s="379" t="s">
        <v>1421</v>
      </c>
      <c r="C27" s="369">
        <v>470</v>
      </c>
    </row>
    <row r="28" spans="1:3" ht="15.75" x14ac:dyDescent="0.25">
      <c r="A28" s="355" t="s">
        <v>1388</v>
      </c>
      <c r="B28" s="379" t="s">
        <v>1422</v>
      </c>
      <c r="C28" s="370">
        <v>650</v>
      </c>
    </row>
    <row r="29" spans="1:3" x14ac:dyDescent="0.25">
      <c r="A29" s="358" t="s">
        <v>1389</v>
      </c>
      <c r="B29" s="380" t="s">
        <v>1389</v>
      </c>
      <c r="C29" s="371">
        <f>SUM(C24:C28)</f>
        <v>5170</v>
      </c>
    </row>
    <row r="30" spans="1:3" x14ac:dyDescent="0.25">
      <c r="A30" s="354" t="s">
        <v>1390</v>
      </c>
      <c r="B30" s="354" t="s">
        <v>1423</v>
      </c>
      <c r="C30" s="369"/>
    </row>
    <row r="31" spans="1:3" ht="15.75" x14ac:dyDescent="0.25">
      <c r="A31" s="357" t="s">
        <v>1391</v>
      </c>
      <c r="B31" s="381" t="s">
        <v>1619</v>
      </c>
      <c r="C31" s="369">
        <v>220</v>
      </c>
    </row>
    <row r="32" spans="1:3" ht="15.75" x14ac:dyDescent="0.25">
      <c r="A32" s="357" t="s">
        <v>1392</v>
      </c>
      <c r="B32" s="381" t="s">
        <v>1424</v>
      </c>
      <c r="C32" s="369">
        <v>85</v>
      </c>
    </row>
    <row r="33" spans="1:3" ht="15.75" x14ac:dyDescent="0.25">
      <c r="A33" s="357" t="s">
        <v>1393</v>
      </c>
      <c r="B33" s="381" t="s">
        <v>1425</v>
      </c>
      <c r="C33" s="370">
        <v>160</v>
      </c>
    </row>
    <row r="34" spans="1:3" x14ac:dyDescent="0.25">
      <c r="A34" s="358" t="s">
        <v>1389</v>
      </c>
      <c r="B34" s="380" t="s">
        <v>1389</v>
      </c>
      <c r="C34" s="371">
        <f>SUM(C31:C33)</f>
        <v>465</v>
      </c>
    </row>
    <row r="35" spans="1:3" x14ac:dyDescent="0.25">
      <c r="A35" s="358"/>
      <c r="B35" s="380"/>
      <c r="C35" s="371"/>
    </row>
    <row r="36" spans="1:3" x14ac:dyDescent="0.25">
      <c r="A36" s="359" t="s">
        <v>1394</v>
      </c>
      <c r="B36" s="365" t="s">
        <v>1426</v>
      </c>
      <c r="C36" s="366">
        <f>C40+C43+C49</f>
        <v>-1820</v>
      </c>
    </row>
    <row r="37" spans="1:3" x14ac:dyDescent="0.25">
      <c r="A37" s="354" t="s">
        <v>1395</v>
      </c>
      <c r="B37" s="354" t="s">
        <v>1427</v>
      </c>
      <c r="C37" s="366"/>
    </row>
    <row r="38" spans="1:3" x14ac:dyDescent="0.25">
      <c r="A38" s="360" t="s">
        <v>1396</v>
      </c>
      <c r="B38" s="382" t="s">
        <v>1428</v>
      </c>
      <c r="C38" s="368">
        <v>-575</v>
      </c>
    </row>
    <row r="39" spans="1:3" x14ac:dyDescent="0.25">
      <c r="A39" s="360" t="s">
        <v>1397</v>
      </c>
      <c r="B39" s="382" t="s">
        <v>1429</v>
      </c>
      <c r="C39" s="372">
        <v>75</v>
      </c>
    </row>
    <row r="40" spans="1:3" x14ac:dyDescent="0.25">
      <c r="A40" s="358" t="s">
        <v>1389</v>
      </c>
      <c r="B40" s="380" t="s">
        <v>1389</v>
      </c>
      <c r="C40" s="371">
        <f>SUM(C38:C39)</f>
        <v>-500</v>
      </c>
    </row>
    <row r="41" spans="1:3" x14ac:dyDescent="0.25">
      <c r="A41" s="354" t="s">
        <v>1398</v>
      </c>
      <c r="B41" s="354" t="s">
        <v>1624</v>
      </c>
      <c r="C41" s="368"/>
    </row>
    <row r="42" spans="1:3" x14ac:dyDescent="0.25">
      <c r="A42" s="360" t="s">
        <v>1399</v>
      </c>
      <c r="B42" s="382" t="s">
        <v>1430</v>
      </c>
      <c r="C42" s="372">
        <v>445</v>
      </c>
    </row>
    <row r="43" spans="1:3" x14ac:dyDescent="0.25">
      <c r="A43" s="358" t="s">
        <v>1389</v>
      </c>
      <c r="B43" s="380" t="s">
        <v>1389</v>
      </c>
      <c r="C43" s="371">
        <f>SUM(C41:C42)</f>
        <v>445</v>
      </c>
    </row>
    <row r="44" spans="1:3" x14ac:dyDescent="0.25">
      <c r="A44" s="354" t="s">
        <v>1390</v>
      </c>
      <c r="B44" s="354" t="s">
        <v>1423</v>
      </c>
      <c r="C44" s="368"/>
    </row>
    <row r="45" spans="1:3" x14ac:dyDescent="0.25">
      <c r="A45" s="360" t="s">
        <v>1400</v>
      </c>
      <c r="B45" s="382" t="s">
        <v>1431</v>
      </c>
      <c r="C45" s="368">
        <v>-1100</v>
      </c>
    </row>
    <row r="46" spans="1:3" x14ac:dyDescent="0.25">
      <c r="A46" s="360" t="s">
        <v>1401</v>
      </c>
      <c r="B46" s="382" t="s">
        <v>1443</v>
      </c>
      <c r="C46" s="368">
        <v>-465</v>
      </c>
    </row>
    <row r="47" spans="1:3" x14ac:dyDescent="0.25">
      <c r="A47" s="360" t="s">
        <v>1402</v>
      </c>
      <c r="B47" s="382" t="s">
        <v>1432</v>
      </c>
      <c r="C47" s="368">
        <v>-90</v>
      </c>
    </row>
    <row r="48" spans="1:3" x14ac:dyDescent="0.25">
      <c r="A48" s="360" t="s">
        <v>1403</v>
      </c>
      <c r="B48" s="382" t="s">
        <v>1433</v>
      </c>
      <c r="C48" s="372">
        <v>-110</v>
      </c>
    </row>
    <row r="49" spans="1:3" x14ac:dyDescent="0.25">
      <c r="A49" s="358" t="s">
        <v>1389</v>
      </c>
      <c r="B49" s="380" t="s">
        <v>1389</v>
      </c>
      <c r="C49" s="371">
        <f>SUM(C45:C48)</f>
        <v>-1765</v>
      </c>
    </row>
    <row r="50" spans="1:3" x14ac:dyDescent="0.25">
      <c r="A50" s="354"/>
      <c r="B50" s="354"/>
      <c r="C50" s="368"/>
    </row>
    <row r="51" spans="1:3" x14ac:dyDescent="0.25">
      <c r="A51" s="359" t="s">
        <v>1404</v>
      </c>
      <c r="B51" s="365" t="s">
        <v>1434</v>
      </c>
      <c r="C51" s="366">
        <f>+C22-C36</f>
        <v>7455</v>
      </c>
    </row>
    <row r="52" spans="1:3" ht="5.0999999999999996" customHeight="1" x14ac:dyDescent="0.25">
      <c r="A52" s="361"/>
      <c r="B52" s="361"/>
      <c r="C52" s="373"/>
    </row>
    <row r="53" spans="1:3" ht="5.0999999999999996" customHeight="1" x14ac:dyDescent="0.25">
      <c r="A53" s="355"/>
      <c r="B53" s="379"/>
      <c r="C53" s="369"/>
    </row>
    <row r="54" spans="1:3" x14ac:dyDescent="0.25">
      <c r="A54" s="359" t="s">
        <v>1405</v>
      </c>
      <c r="B54" s="365" t="s">
        <v>1435</v>
      </c>
      <c r="C54" s="374">
        <f>C18-C51</f>
        <v>-2070</v>
      </c>
    </row>
    <row r="55" spans="1:3" x14ac:dyDescent="0.25">
      <c r="A55" s="358" t="s">
        <v>1406</v>
      </c>
      <c r="B55" s="380" t="s">
        <v>1436</v>
      </c>
      <c r="C55" s="375">
        <v>-0.70017036770175067</v>
      </c>
    </row>
    <row r="56" spans="1:3" ht="5.0999999999999996" customHeight="1" x14ac:dyDescent="0.25">
      <c r="A56" s="362"/>
      <c r="B56" s="383"/>
      <c r="C56" s="376"/>
    </row>
    <row r="57" spans="1:3" ht="5.0999999999999996" customHeight="1" x14ac:dyDescent="0.25">
      <c r="A57" s="355"/>
      <c r="B57" s="379"/>
      <c r="C57" s="356"/>
    </row>
    <row r="58" spans="1:3" x14ac:dyDescent="0.25">
      <c r="A58" s="365" t="s">
        <v>1407</v>
      </c>
      <c r="B58" s="365" t="s">
        <v>1620</v>
      </c>
      <c r="C58" s="365"/>
    </row>
    <row r="59" spans="1:3" x14ac:dyDescent="0.25">
      <c r="A59" s="357" t="s">
        <v>1408</v>
      </c>
      <c r="B59" s="381" t="s">
        <v>1437</v>
      </c>
      <c r="C59" s="356"/>
    </row>
    <row r="60" spans="1:3" x14ac:dyDescent="0.25">
      <c r="A60" s="357" t="s">
        <v>1409</v>
      </c>
      <c r="B60" s="381" t="s">
        <v>1438</v>
      </c>
      <c r="C60" s="356"/>
    </row>
    <row r="61" spans="1:3" x14ac:dyDescent="0.25">
      <c r="A61" s="357" t="s">
        <v>1410</v>
      </c>
      <c r="B61" s="381" t="s">
        <v>1439</v>
      </c>
      <c r="C61" s="356"/>
    </row>
    <row r="62" spans="1:3" x14ac:dyDescent="0.25">
      <c r="A62" s="357" t="s">
        <v>1411</v>
      </c>
      <c r="B62" s="381" t="s">
        <v>1440</v>
      </c>
      <c r="C62" s="356"/>
    </row>
    <row r="63" spans="1:3" x14ac:dyDescent="0.25">
      <c r="A63" s="357" t="s">
        <v>1412</v>
      </c>
      <c r="B63" s="381" t="s">
        <v>1441</v>
      </c>
      <c r="C63" s="356"/>
    </row>
    <row r="64" spans="1:3" x14ac:dyDescent="0.25">
      <c r="A64" s="357" t="s">
        <v>1413</v>
      </c>
      <c r="B64" s="381" t="s">
        <v>1442</v>
      </c>
      <c r="C64" s="356"/>
    </row>
    <row r="65" spans="1:11" ht="5.0999999999999996" customHeight="1" x14ac:dyDescent="0.25">
      <c r="A65" s="363"/>
      <c r="B65" s="384"/>
      <c r="C65" s="363"/>
    </row>
    <row r="66" spans="1:11" x14ac:dyDescent="0.25">
      <c r="C66" s="43"/>
    </row>
    <row r="67" spans="1:11" ht="54.6" customHeight="1" x14ac:dyDescent="0.25">
      <c r="A67" s="446" t="s">
        <v>1444</v>
      </c>
      <c r="B67" s="446"/>
      <c r="C67" s="446"/>
      <c r="D67" s="389"/>
      <c r="E67" s="389"/>
      <c r="F67" s="389"/>
      <c r="G67" s="389"/>
      <c r="H67" s="389"/>
      <c r="I67" s="389"/>
      <c r="J67" s="389"/>
      <c r="K67" s="389"/>
    </row>
    <row r="68" spans="1:11" ht="50.1" customHeight="1" x14ac:dyDescent="0.25">
      <c r="A68" s="447" t="s">
        <v>1621</v>
      </c>
      <c r="B68" s="447"/>
      <c r="C68" s="447"/>
      <c r="D68" s="390"/>
      <c r="E68" s="390"/>
      <c r="F68" s="390"/>
      <c r="G68" s="390"/>
      <c r="H68" s="390"/>
      <c r="I68" s="390"/>
      <c r="J68" s="390"/>
      <c r="K68" s="390"/>
    </row>
    <row r="69" spans="1:11" x14ac:dyDescent="0.25">
      <c r="C69" s="43"/>
    </row>
    <row r="70" spans="1:11" x14ac:dyDescent="0.25">
      <c r="C70" s="43"/>
    </row>
    <row r="71" spans="1:11" x14ac:dyDescent="0.25">
      <c r="C71" s="43"/>
    </row>
    <row r="72" spans="1:11" x14ac:dyDescent="0.25">
      <c r="C72" s="43"/>
    </row>
    <row r="73" spans="1:11" x14ac:dyDescent="0.25">
      <c r="C73" s="43"/>
    </row>
    <row r="74" spans="1:11" x14ac:dyDescent="0.25">
      <c r="C74" s="43"/>
    </row>
    <row r="75" spans="1:11" x14ac:dyDescent="0.25">
      <c r="C75" s="16"/>
      <c r="D75" s="16"/>
    </row>
    <row r="76" spans="1:11" x14ac:dyDescent="0.25">
      <c r="C76" s="16"/>
      <c r="D76" s="16"/>
    </row>
    <row r="77" spans="1:11" x14ac:dyDescent="0.25">
      <c r="C77" s="16"/>
      <c r="D77" s="16"/>
    </row>
    <row r="78" spans="1:11" x14ac:dyDescent="0.25">
      <c r="C78" s="16"/>
      <c r="D78" s="16"/>
    </row>
    <row r="79" spans="1:11" x14ac:dyDescent="0.25">
      <c r="C79" s="16"/>
      <c r="D79" s="16"/>
    </row>
    <row r="80" spans="1:11" x14ac:dyDescent="0.25">
      <c r="C80" s="16"/>
      <c r="D80" s="16"/>
    </row>
    <row r="81" spans="1:5" x14ac:dyDescent="0.25">
      <c r="C81" s="16"/>
      <c r="D81" s="16"/>
    </row>
    <row r="83" spans="1:5" ht="44.45" customHeight="1" x14ac:dyDescent="0.25">
      <c r="A83" s="445" t="s">
        <v>1368</v>
      </c>
      <c r="B83" s="445"/>
      <c r="C83" s="445"/>
      <c r="D83" s="34"/>
      <c r="E83" s="34"/>
    </row>
    <row r="84" spans="1:5" ht="44.45" customHeight="1" x14ac:dyDescent="0.25">
      <c r="A84" s="444" t="s">
        <v>1369</v>
      </c>
      <c r="B84" s="444"/>
      <c r="C84" s="444"/>
      <c r="D84" s="47"/>
      <c r="E84" s="47"/>
    </row>
  </sheetData>
  <mergeCells count="4">
    <mergeCell ref="A67:C67"/>
    <mergeCell ref="A68:C68"/>
    <mergeCell ref="A83:C83"/>
    <mergeCell ref="A84:C84"/>
  </mergeCells>
  <hyperlinks>
    <hyperlink ref="A5" location="Índice!A1" display="Índice" xr:uid="{16A68345-BECC-4585-95B1-CAF0F8D1B4FB}"/>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4BAB-0837-4B9B-A92A-453690F9F724}">
  <sheetPr codeName="Sheet16">
    <tabColor theme="0" tint="-4.9989318521683403E-2"/>
  </sheetPr>
  <dimension ref="A4:I29"/>
  <sheetViews>
    <sheetView showGridLines="0" zoomScaleNormal="100" workbookViewId="0">
      <selection activeCell="B35" sqref="B35"/>
    </sheetView>
  </sheetViews>
  <sheetFormatPr defaultRowHeight="15" x14ac:dyDescent="0.25"/>
  <cols>
    <col min="1" max="2" width="40.5703125" customWidth="1"/>
    <col min="3" max="8" width="20.5703125" customWidth="1"/>
    <col min="9" max="9" width="22.5703125" customWidth="1"/>
  </cols>
  <sheetData>
    <row r="4" spans="1:9" x14ac:dyDescent="0.25">
      <c r="A4" s="39" t="s">
        <v>3</v>
      </c>
    </row>
    <row r="5" spans="1:9" ht="18.75" x14ac:dyDescent="0.25">
      <c r="A5" s="6" t="s">
        <v>180</v>
      </c>
    </row>
    <row r="6" spans="1:9" x14ac:dyDescent="0.25">
      <c r="A6" s="78" t="str">
        <f>+Índice!A76</f>
        <v>Caixa 6 - O efeito direto da inflação e da progressividade sobre a receita fiscal e contributiva/Box 6 - The direct effect of inflation and progressivity on tax and social contributions revenue</v>
      </c>
    </row>
    <row r="7" spans="1:9" ht="18.75" x14ac:dyDescent="0.25">
      <c r="A7" s="6"/>
    </row>
    <row r="8" spans="1:9" ht="18.75" x14ac:dyDescent="0.25">
      <c r="A8" s="6"/>
    </row>
    <row r="9" spans="1:9" x14ac:dyDescent="0.25">
      <c r="A9" s="7"/>
    </row>
    <row r="10" spans="1:9" x14ac:dyDescent="0.25">
      <c r="A10" s="41" t="s">
        <v>1586</v>
      </c>
    </row>
    <row r="11" spans="1:9" x14ac:dyDescent="0.25">
      <c r="A11" s="41" t="s">
        <v>1591</v>
      </c>
    </row>
    <row r="13" spans="1:9" x14ac:dyDescent="0.25">
      <c r="A13" s="42" t="s">
        <v>44</v>
      </c>
      <c r="C13" s="317" t="s">
        <v>69</v>
      </c>
      <c r="D13" s="317" t="s">
        <v>69</v>
      </c>
      <c r="E13" s="317" t="s">
        <v>69</v>
      </c>
      <c r="F13" s="317" t="s">
        <v>69</v>
      </c>
      <c r="G13" s="317" t="s">
        <v>69</v>
      </c>
      <c r="H13" s="43"/>
      <c r="I13" s="43"/>
    </row>
    <row r="14" spans="1:9" x14ac:dyDescent="0.25">
      <c r="C14" s="318" t="s">
        <v>70</v>
      </c>
      <c r="D14" s="318" t="s">
        <v>70</v>
      </c>
      <c r="E14" s="318" t="s">
        <v>70</v>
      </c>
      <c r="F14" s="318" t="s">
        <v>70</v>
      </c>
      <c r="G14" s="318" t="s">
        <v>70</v>
      </c>
      <c r="H14" s="44"/>
      <c r="I14" s="44"/>
    </row>
    <row r="15" spans="1:9" x14ac:dyDescent="0.25">
      <c r="C15" s="43"/>
      <c r="D15" s="43"/>
      <c r="E15" s="43"/>
      <c r="F15" s="43"/>
      <c r="G15" s="43"/>
      <c r="H15" s="43"/>
      <c r="I15" s="43"/>
    </row>
    <row r="16" spans="1:9" x14ac:dyDescent="0.25">
      <c r="C16" s="44"/>
      <c r="D16" s="44"/>
      <c r="E16" s="44"/>
      <c r="F16" s="44"/>
      <c r="G16" s="44"/>
      <c r="H16" s="44"/>
      <c r="I16" s="43"/>
    </row>
    <row r="17" spans="1:9" x14ac:dyDescent="0.25">
      <c r="C17">
        <v>2022</v>
      </c>
      <c r="D17">
        <v>2023</v>
      </c>
      <c r="E17">
        <v>2024</v>
      </c>
      <c r="F17">
        <v>2025</v>
      </c>
      <c r="G17">
        <v>2026</v>
      </c>
    </row>
    <row r="19" spans="1:9" x14ac:dyDescent="0.25">
      <c r="A19" t="s">
        <v>81</v>
      </c>
      <c r="B19" s="8" t="s">
        <v>1467</v>
      </c>
      <c r="C19" s="45">
        <v>11154.289999999997</v>
      </c>
      <c r="D19" s="45">
        <v>7947.8839999999964</v>
      </c>
      <c r="E19" s="45">
        <v>5486.7114079253261</v>
      </c>
      <c r="F19" s="45">
        <v>4963.3047224760239</v>
      </c>
      <c r="G19" s="45">
        <v>5018.8381718325336</v>
      </c>
      <c r="H19" s="45"/>
      <c r="I19" s="16"/>
    </row>
    <row r="20" spans="1:9" x14ac:dyDescent="0.25">
      <c r="A20" t="s">
        <v>82</v>
      </c>
      <c r="B20" s="8" t="s">
        <v>1468</v>
      </c>
      <c r="C20" s="45">
        <v>-427.83471219577115</v>
      </c>
      <c r="D20" s="45">
        <v>-2610.2914801492038</v>
      </c>
      <c r="E20" s="45">
        <v>-1529.0016017827452</v>
      </c>
      <c r="F20" s="45">
        <v>-597.83732464455852</v>
      </c>
      <c r="G20" s="45">
        <v>-189.34911350165248</v>
      </c>
      <c r="H20" s="45"/>
      <c r="I20" s="16"/>
    </row>
    <row r="21" spans="1:9" x14ac:dyDescent="0.25">
      <c r="A21" t="s">
        <v>84</v>
      </c>
      <c r="B21" s="8" t="s">
        <v>85</v>
      </c>
      <c r="C21" s="45">
        <v>2635.0700907156274</v>
      </c>
      <c r="D21" s="45">
        <v>3651.1625818849125</v>
      </c>
      <c r="E21" s="45">
        <v>824.28417091876008</v>
      </c>
      <c r="F21" s="45">
        <v>-311.40863848409754</v>
      </c>
      <c r="G21" s="45">
        <v>-503.83298432679339</v>
      </c>
      <c r="H21" s="45"/>
      <c r="I21" s="16"/>
    </row>
    <row r="22" spans="1:9" x14ac:dyDescent="0.25">
      <c r="A22" t="s">
        <v>83</v>
      </c>
      <c r="B22" s="8" t="s">
        <v>1504</v>
      </c>
      <c r="C22" s="45">
        <v>7645.9527953176912</v>
      </c>
      <c r="D22" s="45">
        <v>6184.7102351320927</v>
      </c>
      <c r="E22" s="45">
        <v>6502.3200359262319</v>
      </c>
      <c r="F22" s="45">
        <v>6515.5724668689572</v>
      </c>
      <c r="G22" s="45">
        <v>6334.5168694435724</v>
      </c>
      <c r="H22" s="45"/>
      <c r="I22" s="16"/>
    </row>
    <row r="23" spans="1:9" x14ac:dyDescent="0.25">
      <c r="A23" t="s">
        <v>86</v>
      </c>
      <c r="B23" s="8" t="s">
        <v>1469</v>
      </c>
      <c r="C23" s="45">
        <v>1301.1018261624499</v>
      </c>
      <c r="D23" s="45">
        <v>722.30266313219545</v>
      </c>
      <c r="E23" s="45">
        <v>-310.89119713692344</v>
      </c>
      <c r="F23" s="45">
        <v>-643.02178126427407</v>
      </c>
      <c r="G23" s="45">
        <v>-622.49659978259842</v>
      </c>
      <c r="H23" s="45"/>
      <c r="I23" s="16"/>
    </row>
    <row r="25" spans="1:9" x14ac:dyDescent="0.25">
      <c r="C25" s="45"/>
      <c r="D25" s="45"/>
      <c r="E25" s="45"/>
      <c r="F25" s="45"/>
      <c r="G25" s="45"/>
    </row>
    <row r="26" spans="1:9" x14ac:dyDescent="0.25">
      <c r="A26" t="s">
        <v>1470</v>
      </c>
      <c r="C26" s="45"/>
      <c r="D26" s="45"/>
      <c r="E26" s="45"/>
      <c r="F26" s="45"/>
      <c r="G26" s="45"/>
    </row>
    <row r="27" spans="1:9" x14ac:dyDescent="0.25">
      <c r="A27" s="8" t="s">
        <v>1471</v>
      </c>
      <c r="C27" s="45"/>
      <c r="D27" s="45"/>
      <c r="E27" s="45"/>
      <c r="F27" s="45"/>
      <c r="G27" s="45"/>
    </row>
    <row r="28" spans="1:9" x14ac:dyDescent="0.25">
      <c r="C28" s="45"/>
      <c r="D28" s="45"/>
      <c r="E28" s="45"/>
      <c r="F28" s="45"/>
      <c r="G28" s="45"/>
    </row>
    <row r="29" spans="1:9" x14ac:dyDescent="0.25">
      <c r="C29" s="45"/>
      <c r="D29" s="45"/>
      <c r="E29" s="45"/>
      <c r="F29" s="45"/>
      <c r="G29" s="45"/>
    </row>
  </sheetData>
  <hyperlinks>
    <hyperlink ref="A4" location="Índice!A1" display="Índice" xr:uid="{688A79B3-C53E-4F2B-88F0-D24F3C72A171}"/>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D6405-7A7B-400C-A86C-F168F81310C2}">
  <sheetPr codeName="Sheet49">
    <tabColor theme="0" tint="-4.9989318521683403E-2"/>
  </sheetPr>
  <dimension ref="A4:I32"/>
  <sheetViews>
    <sheetView showGridLines="0" zoomScaleNormal="100" workbookViewId="0">
      <selection activeCell="F32" sqref="F32"/>
    </sheetView>
  </sheetViews>
  <sheetFormatPr defaultRowHeight="15" x14ac:dyDescent="0.25"/>
  <cols>
    <col min="1" max="2" width="40.5703125" customWidth="1"/>
    <col min="3" max="8" width="20.5703125" customWidth="1"/>
    <col min="9" max="9" width="22.5703125" customWidth="1"/>
  </cols>
  <sheetData>
    <row r="4" spans="1:9" x14ac:dyDescent="0.25">
      <c r="A4" s="39" t="s">
        <v>3</v>
      </c>
    </row>
    <row r="5" spans="1:9" ht="18.75" x14ac:dyDescent="0.25">
      <c r="A5" s="6" t="s">
        <v>180</v>
      </c>
    </row>
    <row r="6" spans="1:9" x14ac:dyDescent="0.25">
      <c r="A6" s="78" t="str">
        <f>+Índice!A76</f>
        <v>Caixa 6 - O efeito direto da inflação e da progressividade sobre a receita fiscal e contributiva/Box 6 - The direct effect of inflation and progressivity on tax and social contributions revenue</v>
      </c>
    </row>
    <row r="7" spans="1:9" ht="18.75" x14ac:dyDescent="0.25">
      <c r="A7" s="6"/>
    </row>
    <row r="8" spans="1:9" ht="18.75" x14ac:dyDescent="0.25">
      <c r="A8" s="6"/>
    </row>
    <row r="9" spans="1:9" x14ac:dyDescent="0.25">
      <c r="A9" s="7"/>
    </row>
    <row r="10" spans="1:9" x14ac:dyDescent="0.25">
      <c r="A10" s="41" t="s">
        <v>1585</v>
      </c>
    </row>
    <row r="11" spans="1:9" x14ac:dyDescent="0.25">
      <c r="A11" s="41" t="s">
        <v>1590</v>
      </c>
    </row>
    <row r="13" spans="1:9" x14ac:dyDescent="0.25">
      <c r="A13" s="42" t="s">
        <v>44</v>
      </c>
      <c r="C13" s="317" t="s">
        <v>69</v>
      </c>
      <c r="D13" s="317" t="s">
        <v>69</v>
      </c>
      <c r="E13" s="317" t="s">
        <v>69</v>
      </c>
      <c r="F13" s="317" t="s">
        <v>69</v>
      </c>
      <c r="G13" s="317" t="s">
        <v>69</v>
      </c>
      <c r="H13" s="43"/>
      <c r="I13" s="43"/>
    </row>
    <row r="14" spans="1:9" x14ac:dyDescent="0.25">
      <c r="C14" s="318" t="s">
        <v>70</v>
      </c>
      <c r="D14" s="318" t="s">
        <v>70</v>
      </c>
      <c r="E14" s="318" t="s">
        <v>70</v>
      </c>
      <c r="F14" s="318" t="s">
        <v>70</v>
      </c>
      <c r="G14" s="318" t="s">
        <v>70</v>
      </c>
      <c r="H14" s="44"/>
      <c r="I14" s="44"/>
    </row>
    <row r="15" spans="1:9" x14ac:dyDescent="0.25">
      <c r="C15" s="43"/>
      <c r="D15" s="43"/>
      <c r="E15" s="43"/>
      <c r="F15" s="43"/>
      <c r="G15" s="43"/>
      <c r="H15" s="43"/>
      <c r="I15" s="43"/>
    </row>
    <row r="16" spans="1:9" x14ac:dyDescent="0.25">
      <c r="C16" s="44"/>
      <c r="D16" s="44"/>
      <c r="E16" s="44"/>
      <c r="F16" s="44"/>
      <c r="G16" s="44"/>
      <c r="H16" s="44"/>
      <c r="I16" s="43"/>
    </row>
    <row r="17" spans="1:9" x14ac:dyDescent="0.25">
      <c r="C17">
        <v>2022</v>
      </c>
      <c r="D17">
        <v>2023</v>
      </c>
      <c r="E17">
        <v>2024</v>
      </c>
      <c r="F17">
        <v>2025</v>
      </c>
      <c r="G17">
        <v>2026</v>
      </c>
    </row>
    <row r="19" spans="1:9" x14ac:dyDescent="0.25">
      <c r="A19" t="s">
        <v>71</v>
      </c>
      <c r="B19" s="8" t="s">
        <v>76</v>
      </c>
      <c r="C19" s="45">
        <v>424.76104012930637</v>
      </c>
      <c r="D19" s="45">
        <v>830.84076212287755</v>
      </c>
      <c r="E19" s="45">
        <v>83.591181921871339</v>
      </c>
      <c r="F19" s="45">
        <v>-310.43770482493528</v>
      </c>
      <c r="G19" s="45">
        <v>-375.46709240560722</v>
      </c>
      <c r="H19" s="45"/>
      <c r="I19" s="16"/>
    </row>
    <row r="20" spans="1:9" x14ac:dyDescent="0.25">
      <c r="A20" t="s">
        <v>72</v>
      </c>
      <c r="B20" s="8" t="s">
        <v>77</v>
      </c>
      <c r="C20" s="45">
        <v>359.62492975295299</v>
      </c>
      <c r="D20" s="45">
        <v>860.39521969815905</v>
      </c>
      <c r="E20" s="45">
        <v>363.38374620309332</v>
      </c>
      <c r="F20" s="45">
        <v>169.81369443277072</v>
      </c>
      <c r="G20" s="45">
        <v>106.36624242089056</v>
      </c>
      <c r="H20" s="45"/>
      <c r="I20" s="16"/>
    </row>
    <row r="21" spans="1:9" x14ac:dyDescent="0.25">
      <c r="A21" t="s">
        <v>73</v>
      </c>
      <c r="B21" s="8" t="s">
        <v>78</v>
      </c>
      <c r="C21" s="45">
        <v>1642.8585787601949</v>
      </c>
      <c r="D21" s="45">
        <v>1126.1861309433916</v>
      </c>
      <c r="E21" s="45">
        <v>341.72288711637793</v>
      </c>
      <c r="F21" s="45">
        <v>223.8696914943439</v>
      </c>
      <c r="G21" s="45">
        <v>215.63456652857712</v>
      </c>
      <c r="H21" s="45"/>
      <c r="I21" s="16"/>
    </row>
    <row r="22" spans="1:9" x14ac:dyDescent="0.25">
      <c r="A22" t="s">
        <v>74</v>
      </c>
      <c r="B22" s="8" t="s">
        <v>79</v>
      </c>
      <c r="C22" s="45">
        <v>60.580211607659749</v>
      </c>
      <c r="D22" s="45">
        <v>104.4733840415081</v>
      </c>
      <c r="E22" s="45">
        <v>39.82487970654347</v>
      </c>
      <c r="F22" s="45">
        <v>18.167388103810481</v>
      </c>
      <c r="G22" s="45">
        <v>11.585462751802424</v>
      </c>
      <c r="H22" s="45"/>
      <c r="I22" s="16"/>
    </row>
    <row r="23" spans="1:9" x14ac:dyDescent="0.25">
      <c r="A23" t="s">
        <v>75</v>
      </c>
      <c r="B23" s="8" t="s">
        <v>80</v>
      </c>
      <c r="C23" s="45">
        <v>147.24533046551369</v>
      </c>
      <c r="D23" s="45">
        <v>729.26708507897638</v>
      </c>
      <c r="E23" s="45">
        <v>-4.2385240291259834</v>
      </c>
      <c r="F23" s="45">
        <v>-412.82170769008735</v>
      </c>
      <c r="G23" s="45">
        <v>-461.95216362245628</v>
      </c>
      <c r="H23" s="45"/>
      <c r="I23" s="16"/>
    </row>
    <row r="24" spans="1:9" x14ac:dyDescent="0.25">
      <c r="A24" t="s">
        <v>66</v>
      </c>
      <c r="B24" s="8" t="s">
        <v>66</v>
      </c>
      <c r="C24" s="45">
        <v>2635.0700907156274</v>
      </c>
      <c r="D24" s="45">
        <v>3651.1625818849125</v>
      </c>
      <c r="E24" s="45">
        <v>824.28417091876008</v>
      </c>
      <c r="F24" s="45">
        <v>-311.40863848409754</v>
      </c>
      <c r="G24" s="45">
        <v>-503.83298432679339</v>
      </c>
    </row>
    <row r="26" spans="1:9" x14ac:dyDescent="0.25">
      <c r="A26" t="s">
        <v>1470</v>
      </c>
    </row>
    <row r="27" spans="1:9" x14ac:dyDescent="0.25">
      <c r="A27" s="8" t="s">
        <v>1471</v>
      </c>
      <c r="C27" s="91"/>
      <c r="D27" s="91"/>
      <c r="E27" s="91"/>
      <c r="F27" s="91"/>
      <c r="G27" s="91"/>
    </row>
    <row r="28" spans="1:9" x14ac:dyDescent="0.25">
      <c r="C28" s="91"/>
      <c r="D28" s="91"/>
      <c r="E28" s="91"/>
      <c r="F28" s="91"/>
      <c r="G28" s="91"/>
    </row>
    <row r="29" spans="1:9" x14ac:dyDescent="0.25">
      <c r="C29" s="91"/>
      <c r="D29" s="91"/>
      <c r="E29" s="91"/>
      <c r="F29" s="91"/>
      <c r="G29" s="91"/>
    </row>
    <row r="30" spans="1:9" x14ac:dyDescent="0.25">
      <c r="C30" s="91"/>
      <c r="D30" s="91"/>
      <c r="E30" s="91"/>
      <c r="F30" s="91"/>
      <c r="G30" s="91"/>
    </row>
    <row r="31" spans="1:9" x14ac:dyDescent="0.25">
      <c r="C31" s="91"/>
      <c r="D31" s="91"/>
      <c r="E31" s="91"/>
      <c r="F31" s="91"/>
      <c r="G31" s="91"/>
    </row>
    <row r="32" spans="1:9" x14ac:dyDescent="0.25">
      <c r="C32" s="91"/>
      <c r="D32" s="91"/>
      <c r="E32" s="91"/>
      <c r="F32" s="91"/>
      <c r="G32" s="91"/>
    </row>
  </sheetData>
  <hyperlinks>
    <hyperlink ref="A4" location="Índice!A1" display="Índice" xr:uid="{4FDF1F95-14C1-4549-8F6B-03E32C4A01F9}"/>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2538A-3C4E-442D-9214-A22E343C6748}">
  <sheetPr codeName="Sheet50">
    <tabColor theme="0" tint="-4.9989318521683403E-2"/>
  </sheetPr>
  <dimension ref="A4:I30"/>
  <sheetViews>
    <sheetView showGridLines="0" zoomScaleNormal="100" workbookViewId="0">
      <selection activeCell="E31" sqref="E31"/>
    </sheetView>
  </sheetViews>
  <sheetFormatPr defaultRowHeight="15" x14ac:dyDescent="0.25"/>
  <cols>
    <col min="1" max="2" width="40.5703125" customWidth="1"/>
    <col min="3" max="8" width="20.5703125" customWidth="1"/>
    <col min="9" max="9" width="22.5703125" customWidth="1"/>
  </cols>
  <sheetData>
    <row r="4" spans="1:9" x14ac:dyDescent="0.25">
      <c r="A4" s="39" t="s">
        <v>3</v>
      </c>
    </row>
    <row r="5" spans="1:9" ht="18.75" x14ac:dyDescent="0.25">
      <c r="A5" s="6" t="s">
        <v>180</v>
      </c>
    </row>
    <row r="6" spans="1:9" x14ac:dyDescent="0.25">
      <c r="A6" s="78" t="str">
        <f>+Índice!A76</f>
        <v>Caixa 6 - O efeito direto da inflação e da progressividade sobre a receita fiscal e contributiva/Box 6 - The direct effect of inflation and progressivity on tax and social contributions revenue</v>
      </c>
    </row>
    <row r="7" spans="1:9" ht="18.75" x14ac:dyDescent="0.25">
      <c r="A7" s="6"/>
    </row>
    <row r="8" spans="1:9" ht="18.75" x14ac:dyDescent="0.25">
      <c r="A8" s="6"/>
    </row>
    <row r="9" spans="1:9" x14ac:dyDescent="0.25">
      <c r="A9" s="7"/>
    </row>
    <row r="10" spans="1:9" x14ac:dyDescent="0.25">
      <c r="A10" s="41" t="s">
        <v>1584</v>
      </c>
    </row>
    <row r="11" spans="1:9" x14ac:dyDescent="0.25">
      <c r="A11" s="41" t="s">
        <v>1622</v>
      </c>
    </row>
    <row r="13" spans="1:9" x14ac:dyDescent="0.25">
      <c r="A13" s="42" t="s">
        <v>44</v>
      </c>
      <c r="C13" s="317" t="s">
        <v>69</v>
      </c>
      <c r="D13" s="317" t="s">
        <v>69</v>
      </c>
      <c r="E13" s="317" t="s">
        <v>69</v>
      </c>
      <c r="F13" s="317" t="s">
        <v>69</v>
      </c>
      <c r="G13" s="317" t="s">
        <v>69</v>
      </c>
      <c r="H13" s="43"/>
      <c r="I13" s="43"/>
    </row>
    <row r="14" spans="1:9" x14ac:dyDescent="0.25">
      <c r="C14" s="318" t="s">
        <v>70</v>
      </c>
      <c r="D14" s="318" t="s">
        <v>70</v>
      </c>
      <c r="E14" s="318" t="s">
        <v>70</v>
      </c>
      <c r="F14" s="318" t="s">
        <v>70</v>
      </c>
      <c r="G14" s="318" t="s">
        <v>70</v>
      </c>
      <c r="H14" s="44"/>
      <c r="I14" s="44"/>
    </row>
    <row r="15" spans="1:9" x14ac:dyDescent="0.25">
      <c r="C15" s="43"/>
      <c r="D15" s="43"/>
      <c r="E15" s="43"/>
      <c r="F15" s="43"/>
      <c r="G15" s="43"/>
      <c r="H15" s="43"/>
      <c r="I15" s="43"/>
    </row>
    <row r="16" spans="1:9" x14ac:dyDescent="0.25">
      <c r="C16" s="44"/>
      <c r="D16" s="44"/>
      <c r="E16" s="44"/>
      <c r="F16" s="44"/>
      <c r="G16" s="44"/>
      <c r="H16" s="44"/>
      <c r="I16" s="43"/>
    </row>
    <row r="17" spans="1:9" x14ac:dyDescent="0.25">
      <c r="C17">
        <v>2022</v>
      </c>
      <c r="D17">
        <v>2023</v>
      </c>
      <c r="E17">
        <v>2024</v>
      </c>
      <c r="F17">
        <v>2025</v>
      </c>
      <c r="G17">
        <v>2026</v>
      </c>
    </row>
    <row r="19" spans="1:9" x14ac:dyDescent="0.25">
      <c r="C19" s="45"/>
      <c r="D19" s="45"/>
      <c r="E19" s="45"/>
      <c r="F19" s="45"/>
      <c r="G19" s="45"/>
      <c r="H19" s="45"/>
      <c r="I19" s="16"/>
    </row>
    <row r="20" spans="1:9" x14ac:dyDescent="0.25">
      <c r="A20" s="391" t="s">
        <v>1473</v>
      </c>
      <c r="B20" s="392" t="s">
        <v>1472</v>
      </c>
      <c r="C20" s="45">
        <v>702.38274120534993</v>
      </c>
      <c r="D20" s="45">
        <v>1012.7261967670557</v>
      </c>
      <c r="E20" s="45">
        <v>764.67548258013824</v>
      </c>
      <c r="F20" s="45">
        <v>492.57524316581782</v>
      </c>
      <c r="G20" s="45">
        <v>501.69236968929067</v>
      </c>
      <c r="H20" s="45"/>
      <c r="I20" s="16"/>
    </row>
    <row r="21" spans="1:9" x14ac:dyDescent="0.25">
      <c r="A21" s="391" t="s">
        <v>1475</v>
      </c>
      <c r="B21" s="392" t="s">
        <v>1474</v>
      </c>
      <c r="C21" s="45">
        <v>436.33154136372525</v>
      </c>
      <c r="D21" s="45">
        <v>629.12192525756063</v>
      </c>
      <c r="E21" s="45">
        <v>475.02880179639129</v>
      </c>
      <c r="F21" s="45">
        <v>305.99572352720566</v>
      </c>
      <c r="G21" s="45">
        <v>311.65943027200444</v>
      </c>
      <c r="H21" s="45"/>
      <c r="I21" s="16"/>
    </row>
    <row r="22" spans="1:9" x14ac:dyDescent="0.25">
      <c r="A22" s="391" t="s">
        <v>1477</v>
      </c>
      <c r="B22" s="392" t="s">
        <v>1476</v>
      </c>
      <c r="C22" s="45">
        <v>266.05119984162462</v>
      </c>
      <c r="D22" s="45">
        <v>383.60427150949499</v>
      </c>
      <c r="E22" s="45">
        <v>289.64668078374694</v>
      </c>
      <c r="F22" s="45">
        <v>186.5795196386122</v>
      </c>
      <c r="G22" s="45">
        <v>190.03293941728626</v>
      </c>
      <c r="H22" s="45"/>
      <c r="I22" s="16"/>
    </row>
    <row r="23" spans="1:9" x14ac:dyDescent="0.25">
      <c r="A23" s="391"/>
      <c r="B23" s="392"/>
      <c r="C23" s="45"/>
      <c r="D23" s="45"/>
      <c r="E23" s="45"/>
      <c r="F23" s="45"/>
      <c r="G23" s="45"/>
      <c r="H23" s="45"/>
      <c r="I23" s="16"/>
    </row>
    <row r="24" spans="1:9" x14ac:dyDescent="0.25">
      <c r="A24" s="391" t="s">
        <v>1478</v>
      </c>
      <c r="B24" s="392" t="s">
        <v>1487</v>
      </c>
      <c r="C24" s="45">
        <v>702.38274120534993</v>
      </c>
      <c r="D24" s="91">
        <v>712.72619676705574</v>
      </c>
      <c r="E24" s="91">
        <v>497.67548258013824</v>
      </c>
      <c r="F24" s="45">
        <v>492.57524316581782</v>
      </c>
      <c r="G24" s="45">
        <v>501.69236968929067</v>
      </c>
    </row>
    <row r="25" spans="1:9" x14ac:dyDescent="0.25">
      <c r="A25" s="391"/>
      <c r="B25" s="392"/>
      <c r="D25" s="91"/>
      <c r="E25" s="91"/>
    </row>
    <row r="29" spans="1:9" x14ac:dyDescent="0.25">
      <c r="A29" s="8" t="s">
        <v>1623</v>
      </c>
    </row>
    <row r="30" spans="1:9" x14ac:dyDescent="0.25">
      <c r="A30" s="8" t="s">
        <v>1625</v>
      </c>
    </row>
  </sheetData>
  <hyperlinks>
    <hyperlink ref="A4" location="Índice!A1" display="Índice" xr:uid="{7411CCDF-61A8-4B58-ACA7-EF9CD62CD43A}"/>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81284-0A0B-4DED-8E7C-C23C7C9EDAEE}">
  <sheetPr codeName="Sheet51">
    <tabColor theme="0" tint="-4.9989318521683403E-2"/>
  </sheetPr>
  <dimension ref="A4:AJ28"/>
  <sheetViews>
    <sheetView showGridLines="0" zoomScaleNormal="100" workbookViewId="0">
      <selection activeCell="C28" sqref="C28"/>
    </sheetView>
  </sheetViews>
  <sheetFormatPr defaultRowHeight="15" x14ac:dyDescent="0.25"/>
  <cols>
    <col min="1" max="2" width="30.85546875" customWidth="1"/>
    <col min="3" max="3" width="14.140625" customWidth="1"/>
    <col min="4" max="36" width="6.85546875" customWidth="1"/>
  </cols>
  <sheetData>
    <row r="4" spans="1:9" x14ac:dyDescent="0.25">
      <c r="A4" s="39" t="s">
        <v>3</v>
      </c>
    </row>
    <row r="5" spans="1:9" ht="18.75" x14ac:dyDescent="0.25">
      <c r="A5" s="6" t="s">
        <v>180</v>
      </c>
    </row>
    <row r="6" spans="1:9" x14ac:dyDescent="0.25">
      <c r="A6" s="78" t="str">
        <f>+Índice!A84</f>
        <v>Caixa 7 - Trajetórias para a dívida pública portuguesa/Box 7 - Trajectories for Portuguese public debt</v>
      </c>
    </row>
    <row r="7" spans="1:9" ht="18.75" x14ac:dyDescent="0.25">
      <c r="A7" s="6"/>
    </row>
    <row r="8" spans="1:9" ht="18.75" x14ac:dyDescent="0.25">
      <c r="A8" s="6"/>
    </row>
    <row r="9" spans="1:9" x14ac:dyDescent="0.25">
      <c r="A9" s="7"/>
    </row>
    <row r="10" spans="1:9" x14ac:dyDescent="0.25">
      <c r="A10" s="41" t="s">
        <v>1583</v>
      </c>
    </row>
    <row r="11" spans="1:9" x14ac:dyDescent="0.25">
      <c r="A11" s="41" t="s">
        <v>1589</v>
      </c>
    </row>
    <row r="13" spans="1:9" x14ac:dyDescent="0.25">
      <c r="C13" s="42" t="s">
        <v>44</v>
      </c>
      <c r="D13" s="43"/>
      <c r="E13" s="43"/>
      <c r="F13" s="43"/>
      <c r="G13" s="43"/>
      <c r="H13" s="43"/>
      <c r="I13" s="43"/>
    </row>
    <row r="14" spans="1:9" x14ac:dyDescent="0.25">
      <c r="C14" s="44"/>
      <c r="D14" s="44"/>
      <c r="E14" s="44"/>
      <c r="F14" s="44"/>
      <c r="G14" s="44"/>
      <c r="H14" s="44"/>
      <c r="I14" s="44"/>
    </row>
    <row r="15" spans="1:9" x14ac:dyDescent="0.25">
      <c r="C15" s="43"/>
      <c r="D15" s="43"/>
      <c r="E15" s="43"/>
      <c r="F15" s="43"/>
      <c r="G15" s="43"/>
      <c r="H15" s="43"/>
      <c r="I15" s="43"/>
    </row>
    <row r="16" spans="1:9" x14ac:dyDescent="0.25">
      <c r="C16" s="44"/>
      <c r="D16" s="44"/>
      <c r="E16" s="44"/>
      <c r="F16" s="44"/>
      <c r="G16" s="44"/>
      <c r="H16" s="44"/>
      <c r="I16" s="43"/>
    </row>
    <row r="18" spans="1:36" x14ac:dyDescent="0.25">
      <c r="D18" s="91">
        <v>2001</v>
      </c>
      <c r="E18" s="91">
        <v>2002</v>
      </c>
      <c r="F18" s="91">
        <v>2003</v>
      </c>
      <c r="G18" s="91">
        <v>2004</v>
      </c>
      <c r="H18" s="91">
        <v>2005</v>
      </c>
      <c r="I18" s="91">
        <v>2006</v>
      </c>
      <c r="J18" s="91">
        <v>2007</v>
      </c>
      <c r="K18" s="91">
        <v>2008</v>
      </c>
      <c r="L18" s="91">
        <v>2009</v>
      </c>
      <c r="M18" s="91">
        <v>2010</v>
      </c>
      <c r="N18" s="91">
        <v>2011</v>
      </c>
      <c r="O18" s="91">
        <v>2012</v>
      </c>
      <c r="P18" s="91">
        <v>2013</v>
      </c>
      <c r="Q18" s="91">
        <v>2014</v>
      </c>
      <c r="R18" s="91">
        <v>2015</v>
      </c>
      <c r="S18" s="91">
        <v>2016</v>
      </c>
      <c r="T18" s="91">
        <v>2017</v>
      </c>
      <c r="U18" s="91">
        <v>2018</v>
      </c>
      <c r="V18" s="91">
        <v>2019</v>
      </c>
      <c r="W18" s="91">
        <v>2020</v>
      </c>
      <c r="X18" s="91">
        <v>2021</v>
      </c>
      <c r="Y18" s="91">
        <v>2022</v>
      </c>
      <c r="Z18" s="91">
        <v>2023</v>
      </c>
      <c r="AA18" s="91">
        <v>2024</v>
      </c>
      <c r="AB18" s="91">
        <v>2025</v>
      </c>
      <c r="AC18" s="91">
        <v>2026</v>
      </c>
      <c r="AD18" s="91">
        <v>2027</v>
      </c>
      <c r="AE18" s="91">
        <v>2028</v>
      </c>
      <c r="AF18" s="91">
        <v>2029</v>
      </c>
      <c r="AG18" s="91">
        <v>2030</v>
      </c>
      <c r="AH18" s="91">
        <v>2031</v>
      </c>
      <c r="AI18" s="91">
        <v>2032</v>
      </c>
      <c r="AJ18" s="91">
        <v>2033</v>
      </c>
    </row>
    <row r="19" spans="1:36" x14ac:dyDescent="0.25">
      <c r="A19" t="s">
        <v>1479</v>
      </c>
      <c r="B19" s="8" t="s">
        <v>1483</v>
      </c>
      <c r="C19" s="393" t="s">
        <v>1505</v>
      </c>
      <c r="D19" s="45"/>
      <c r="E19" s="45"/>
      <c r="F19" s="45"/>
      <c r="G19" s="45"/>
      <c r="H19" s="45"/>
      <c r="I19" s="16"/>
      <c r="AJ19" s="16"/>
    </row>
    <row r="20" spans="1:36" x14ac:dyDescent="0.25">
      <c r="B20" s="8"/>
      <c r="C20" s="393"/>
      <c r="D20" s="16">
        <v>57.380218971590615</v>
      </c>
      <c r="E20" s="16">
        <v>60.043717427755091</v>
      </c>
      <c r="F20" s="16">
        <v>63.897283679366524</v>
      </c>
      <c r="G20" s="16">
        <v>67.099504029650561</v>
      </c>
      <c r="H20" s="16">
        <v>72.249078401880084</v>
      </c>
      <c r="I20" s="16">
        <v>73.679394203459481</v>
      </c>
      <c r="J20" s="16">
        <v>72.72796495086429</v>
      </c>
      <c r="K20" s="16">
        <v>75.642543826014219</v>
      </c>
      <c r="L20" s="16">
        <v>87.799060064391426</v>
      </c>
      <c r="M20" s="16">
        <v>100.2144849940609</v>
      </c>
      <c r="N20" s="16">
        <v>114.40307327363072</v>
      </c>
      <c r="O20" s="16">
        <v>129.03504415437638</v>
      </c>
      <c r="P20" s="16">
        <v>131.42974491978805</v>
      </c>
      <c r="Q20" s="16">
        <v>132.94068025522012</v>
      </c>
      <c r="R20" s="16">
        <v>131.17912426596376</v>
      </c>
      <c r="S20" s="16">
        <v>131.50573147013282</v>
      </c>
      <c r="T20" s="16">
        <v>126.14343284498078</v>
      </c>
      <c r="U20" s="16">
        <v>121.48136102154257</v>
      </c>
      <c r="V20" s="16">
        <v>116.60778092358912</v>
      </c>
      <c r="W20" s="16">
        <v>134.89746705690848</v>
      </c>
      <c r="X20" s="16">
        <v>124.54758045364913</v>
      </c>
      <c r="Y20" s="16">
        <v>112.41492094084525</v>
      </c>
      <c r="Z20" s="16">
        <v>99.089225976140213</v>
      </c>
      <c r="AA20" s="16">
        <v>92.491104980547348</v>
      </c>
      <c r="AB20" s="16">
        <v>87.171177307291615</v>
      </c>
      <c r="AC20" s="16">
        <v>82.55961795556361</v>
      </c>
      <c r="AD20" s="16">
        <v>79.193522261101435</v>
      </c>
      <c r="AE20" s="16">
        <v>76.514744738852002</v>
      </c>
      <c r="AF20" s="16">
        <v>74.380962497997302</v>
      </c>
      <c r="AG20" s="16">
        <v>72.619840284333762</v>
      </c>
      <c r="AH20" s="16">
        <v>70.953506380510788</v>
      </c>
      <c r="AI20" s="16">
        <v>69.593116354719726</v>
      </c>
      <c r="AJ20" s="16">
        <v>68.526253390781392</v>
      </c>
    </row>
    <row r="21" spans="1:36" x14ac:dyDescent="0.25">
      <c r="A21" t="s">
        <v>996</v>
      </c>
      <c r="B21" s="8" t="s">
        <v>1000</v>
      </c>
      <c r="C21" s="393" t="s">
        <v>730</v>
      </c>
      <c r="D21" s="16">
        <v>3.1871077437622262</v>
      </c>
      <c r="E21" s="16">
        <v>2.6634984561644757</v>
      </c>
      <c r="F21" s="16">
        <v>3.8535662516114328</v>
      </c>
      <c r="G21" s="16">
        <v>3.202220350284037</v>
      </c>
      <c r="H21" s="16">
        <v>5.1495743722295231</v>
      </c>
      <c r="I21" s="16">
        <v>1.4303158015793969</v>
      </c>
      <c r="J21" s="16">
        <v>-0.95142925259519018</v>
      </c>
      <c r="K21" s="16">
        <v>2.9145788751499282</v>
      </c>
      <c r="L21" s="16">
        <v>12.156516238377208</v>
      </c>
      <c r="M21" s="16">
        <v>12.41542492966947</v>
      </c>
      <c r="N21" s="16">
        <v>14.188588279569828</v>
      </c>
      <c r="O21" s="16">
        <v>14.631970880745655</v>
      </c>
      <c r="P21" s="16">
        <v>2.3947007654116703</v>
      </c>
      <c r="Q21" s="16">
        <v>1.510935335432066</v>
      </c>
      <c r="R21" s="16">
        <v>-1.761555989256351</v>
      </c>
      <c r="S21" s="16">
        <v>0.32660720416905065</v>
      </c>
      <c r="T21" s="16">
        <v>-5.3622986251520359</v>
      </c>
      <c r="U21" s="16">
        <v>-4.662071823438211</v>
      </c>
      <c r="V21" s="16">
        <v>-4.8735800979534503</v>
      </c>
      <c r="W21" s="16">
        <v>18.289686133319364</v>
      </c>
      <c r="X21" s="16">
        <v>-10.34988660325935</v>
      </c>
      <c r="Y21" s="16">
        <v>-12.132659512803883</v>
      </c>
      <c r="Z21" s="16">
        <v>-13.325694964705036</v>
      </c>
      <c r="AA21" s="16">
        <v>-6.5981209955928648</v>
      </c>
      <c r="AB21" s="16">
        <v>-5.3199276732557337</v>
      </c>
      <c r="AC21" s="16">
        <v>-4.6115593517280047</v>
      </c>
      <c r="AD21" s="16">
        <v>-3.3660956944621745</v>
      </c>
      <c r="AE21" s="16">
        <v>-2.6787775222494332</v>
      </c>
      <c r="AF21" s="16">
        <v>-2.1337822408546998</v>
      </c>
      <c r="AG21" s="16">
        <v>-1.7611222136635405</v>
      </c>
      <c r="AH21" s="16">
        <v>-1.6663339038229736</v>
      </c>
      <c r="AI21" s="16">
        <v>-1.3603900257910624</v>
      </c>
      <c r="AJ21" s="16">
        <v>-1.066862963938334</v>
      </c>
    </row>
    <row r="22" spans="1:36" x14ac:dyDescent="0.25">
      <c r="A22" t="s">
        <v>1480</v>
      </c>
      <c r="B22" s="8" t="s">
        <v>1484</v>
      </c>
      <c r="C22" s="393" t="s">
        <v>730</v>
      </c>
      <c r="D22" s="16">
        <v>1.7993632797328714</v>
      </c>
      <c r="E22" s="16">
        <v>0.49661763184170554</v>
      </c>
      <c r="F22" s="16">
        <v>2.9963685705721734</v>
      </c>
      <c r="G22" s="16">
        <v>3.6159030944371082</v>
      </c>
      <c r="H22" s="16">
        <v>3.5624967123736604</v>
      </c>
      <c r="I22" s="16">
        <v>1.3978434046745087</v>
      </c>
      <c r="J22" s="16">
        <v>-6.7703410563426034E-2</v>
      </c>
      <c r="K22" s="16">
        <v>0.57981911754038029</v>
      </c>
      <c r="L22" s="16">
        <v>6.8856470975949167</v>
      </c>
      <c r="M22" s="16">
        <v>8.4572700889182162</v>
      </c>
      <c r="N22" s="16">
        <v>3.3421196347307358</v>
      </c>
      <c r="O22" s="16">
        <v>1.3055823051671909</v>
      </c>
      <c r="P22" s="16">
        <v>0.27378895403169279</v>
      </c>
      <c r="Q22" s="16">
        <v>2.4762846578059983</v>
      </c>
      <c r="R22" s="16">
        <v>-0.13591882328438623</v>
      </c>
      <c r="S22" s="16">
        <v>-2.2147576394723254</v>
      </c>
      <c r="T22" s="16">
        <v>-0.81993968558674712</v>
      </c>
      <c r="U22" s="16">
        <v>-3.015086098961536</v>
      </c>
      <c r="V22" s="16">
        <v>-3.0653824599199289</v>
      </c>
      <c r="W22" s="16">
        <v>2.9334348047532028</v>
      </c>
      <c r="X22" s="16">
        <v>0.47412241861216831</v>
      </c>
      <c r="Y22" s="16">
        <v>-1.6031450464790991</v>
      </c>
      <c r="Z22" s="16">
        <v>-3.3691248597901664</v>
      </c>
      <c r="AA22" s="16">
        <v>-3.3154523523782324</v>
      </c>
      <c r="AB22" s="16">
        <v>-2.9821837390659951</v>
      </c>
      <c r="AC22" s="16">
        <v>-2.7837496631342478</v>
      </c>
      <c r="AD22" s="16">
        <v>-2.5655034494887512</v>
      </c>
      <c r="AE22" s="16">
        <v>-2.3200034494887518</v>
      </c>
      <c r="AF22" s="16">
        <v>-2.0745034494887524</v>
      </c>
      <c r="AG22" s="16">
        <v>-1.8290034494887497</v>
      </c>
      <c r="AH22" s="16">
        <v>-1.6127412173869491</v>
      </c>
      <c r="AI22" s="16">
        <v>-1.4121022141112558</v>
      </c>
      <c r="AJ22" s="16">
        <v>-1.2121022141112565</v>
      </c>
    </row>
    <row r="23" spans="1:36" x14ac:dyDescent="0.25">
      <c r="A23" t="s">
        <v>1481</v>
      </c>
      <c r="B23" s="8" t="s">
        <v>1485</v>
      </c>
      <c r="C23" s="393" t="s">
        <v>730</v>
      </c>
      <c r="D23" s="16">
        <v>2.9905024716293704</v>
      </c>
      <c r="E23" s="16">
        <v>2.8377643115450004</v>
      </c>
      <c r="F23" s="16">
        <v>2.6596741084544417</v>
      </c>
      <c r="G23" s="16">
        <v>2.56765383435273</v>
      </c>
      <c r="H23" s="16">
        <v>2.5678196631862904</v>
      </c>
      <c r="I23" s="16">
        <v>2.7826488511028256</v>
      </c>
      <c r="J23" s="16">
        <v>2.9669267016884397</v>
      </c>
      <c r="K23" s="16">
        <v>3.1197636136202713</v>
      </c>
      <c r="L23" s="16">
        <v>2.9869179995943025</v>
      </c>
      <c r="M23" s="16">
        <v>2.9411235948149859</v>
      </c>
      <c r="N23" s="16">
        <v>4.3211010351837809</v>
      </c>
      <c r="O23" s="16">
        <v>4.8741814676059594</v>
      </c>
      <c r="P23" s="16">
        <v>4.830719919622867</v>
      </c>
      <c r="Q23" s="16">
        <v>4.8797370060139311</v>
      </c>
      <c r="R23" s="16">
        <v>4.5847021124368519</v>
      </c>
      <c r="S23" s="16">
        <v>4.1497806011503755</v>
      </c>
      <c r="T23" s="16">
        <v>3.7759547584270279</v>
      </c>
      <c r="U23" s="16">
        <v>3.3640707016884019</v>
      </c>
      <c r="V23" s="16">
        <v>2.9500530426596208</v>
      </c>
      <c r="W23" s="16">
        <v>2.8859704413139515</v>
      </c>
      <c r="X23" s="16">
        <v>2.4026127748928729</v>
      </c>
      <c r="Y23" s="16">
        <v>1.9246465339453143</v>
      </c>
      <c r="Z23" s="16">
        <v>2.1663118752581263</v>
      </c>
      <c r="AA23" s="16">
        <v>2.2772680480900807</v>
      </c>
      <c r="AB23" s="16">
        <v>2.1980805987372509</v>
      </c>
      <c r="AC23" s="16">
        <v>2.1222701885702482</v>
      </c>
      <c r="AD23" s="16">
        <v>2.0791611606984848</v>
      </c>
      <c r="AE23" s="16">
        <v>2.0581843278878362</v>
      </c>
      <c r="AF23" s="16">
        <v>2.0556950463590353</v>
      </c>
      <c r="AG23" s="16">
        <v>2.0605608398560604</v>
      </c>
      <c r="AH23" s="16">
        <v>2.0617074095937036</v>
      </c>
      <c r="AI23" s="16">
        <v>2.1066318216486559</v>
      </c>
      <c r="AJ23" s="16">
        <v>2.1562300408444566</v>
      </c>
    </row>
    <row r="24" spans="1:36" x14ac:dyDescent="0.25">
      <c r="A24" t="s">
        <v>1482</v>
      </c>
      <c r="B24" s="8" t="s">
        <v>1486</v>
      </c>
      <c r="C24" s="393" t="s">
        <v>730</v>
      </c>
      <c r="D24" s="16">
        <v>-2.937888691663054</v>
      </c>
      <c r="E24" s="16">
        <v>-2.7287509387497666</v>
      </c>
      <c r="F24" s="16">
        <v>-1.4443239479528203</v>
      </c>
      <c r="G24" s="16">
        <v>-2.593913038335975</v>
      </c>
      <c r="H24" s="16">
        <v>-2.6679865191462762</v>
      </c>
      <c r="I24" s="16">
        <v>-3.3494367069797528</v>
      </c>
      <c r="J24" s="16">
        <v>-3.8723892896268848</v>
      </c>
      <c r="K24" s="16">
        <v>-1.4697155472078123</v>
      </c>
      <c r="L24" s="16">
        <v>1.5896140769166569</v>
      </c>
      <c r="M24" s="16">
        <v>-2.0503184009273694</v>
      </c>
      <c r="N24" s="16">
        <v>2.0001265710428546</v>
      </c>
      <c r="O24" s="16">
        <v>5.302652039427306</v>
      </c>
      <c r="P24" s="16">
        <v>-1.6625462442166232</v>
      </c>
      <c r="Q24" s="16">
        <v>-1.945332908801878</v>
      </c>
      <c r="R24" s="16">
        <v>-4.9262625563099371</v>
      </c>
      <c r="S24" s="16">
        <v>-4.7667766407634664</v>
      </c>
      <c r="T24" s="16">
        <v>-6.3471287664667253</v>
      </c>
      <c r="U24" s="16">
        <v>-5.6786851640327853</v>
      </c>
      <c r="V24" s="16">
        <v>-5.208051039544892</v>
      </c>
      <c r="W24" s="16">
        <v>8.0575440697955063</v>
      </c>
      <c r="X24" s="16">
        <v>-9.6992054738492151</v>
      </c>
      <c r="Y24" s="16">
        <v>-13.510135170716493</v>
      </c>
      <c r="Z24" s="16">
        <v>-9.8069360236665659</v>
      </c>
      <c r="AA24" s="16">
        <v>-5.5599366913047081</v>
      </c>
      <c r="AB24" s="16">
        <v>-4.5358245329269904</v>
      </c>
      <c r="AC24" s="16">
        <v>-3.9500798771640002</v>
      </c>
      <c r="AD24" s="16">
        <v>-2.8797534056719143</v>
      </c>
      <c r="AE24" s="16">
        <v>-2.4169584006485261</v>
      </c>
      <c r="AF24" s="16">
        <v>-2.1149738377249645</v>
      </c>
      <c r="AG24" s="16">
        <v>-1.9926796040308579</v>
      </c>
      <c r="AH24" s="16">
        <v>-2.115300096029721</v>
      </c>
      <c r="AI24" s="16">
        <v>-2.0549196333284621</v>
      </c>
      <c r="AJ24" s="16">
        <v>-2.0109907906715359</v>
      </c>
    </row>
    <row r="25" spans="1:36" x14ac:dyDescent="0.25">
      <c r="A25" t="s">
        <v>1358</v>
      </c>
      <c r="B25" s="8" t="s">
        <v>1364</v>
      </c>
      <c r="C25" s="393" t="s">
        <v>730</v>
      </c>
      <c r="D25" s="16">
        <v>1.3351306840630386</v>
      </c>
      <c r="E25" s="16">
        <v>2.0578674515275361</v>
      </c>
      <c r="F25" s="16">
        <v>-0.35815247946236273</v>
      </c>
      <c r="G25" s="16">
        <v>-0.38742354016982627</v>
      </c>
      <c r="H25" s="16">
        <v>1.6872445158158484</v>
      </c>
      <c r="I25" s="16">
        <v>0.59926025278181516</v>
      </c>
      <c r="J25" s="16">
        <v>2.1736745906681065E-2</v>
      </c>
      <c r="K25" s="16">
        <v>0.68471169119708897</v>
      </c>
      <c r="L25" s="16">
        <v>0.69433706427133046</v>
      </c>
      <c r="M25" s="16">
        <v>3.0673496468636365</v>
      </c>
      <c r="N25" s="16">
        <v>4.5252410386124566</v>
      </c>
      <c r="O25" s="16">
        <v>3.1495550685451992</v>
      </c>
      <c r="P25" s="16">
        <v>-1.0472618640262659</v>
      </c>
      <c r="Q25" s="16">
        <v>-3.8997534195859851</v>
      </c>
      <c r="R25" s="16">
        <v>-1.2840767220988791</v>
      </c>
      <c r="S25" s="16">
        <v>3.158360883254467</v>
      </c>
      <c r="T25" s="16">
        <v>-1.9711849315255914</v>
      </c>
      <c r="U25" s="16">
        <v>0.66762873786770882</v>
      </c>
      <c r="V25" s="16">
        <v>0.44980035885174985</v>
      </c>
      <c r="W25" s="16">
        <v>4.4127368174567039</v>
      </c>
      <c r="X25" s="16">
        <v>-3.527416322915176</v>
      </c>
      <c r="Y25" s="16">
        <v>1.0559741704463956</v>
      </c>
      <c r="Z25" s="16">
        <v>-2.3159459565064306</v>
      </c>
      <c r="AA25" s="16">
        <v>0</v>
      </c>
      <c r="AB25" s="16">
        <v>0</v>
      </c>
      <c r="AC25" s="16">
        <v>0</v>
      </c>
      <c r="AD25" s="16">
        <v>6.2172489379008766E-15</v>
      </c>
      <c r="AE25" s="16">
        <v>8.4376949871511897E-15</v>
      </c>
      <c r="AF25" s="16">
        <v>-1.8207657603852567E-14</v>
      </c>
      <c r="AG25" s="16">
        <v>6.6613381477509392E-15</v>
      </c>
      <c r="AH25" s="16">
        <v>-7.1054273576010019E-15</v>
      </c>
      <c r="AI25" s="16">
        <v>0</v>
      </c>
      <c r="AJ25" s="16">
        <v>1.7763568394002505E-15</v>
      </c>
    </row>
    <row r="27" spans="1:36" x14ac:dyDescent="0.25">
      <c r="A27" t="s">
        <v>1470</v>
      </c>
    </row>
    <row r="28" spans="1:36" x14ac:dyDescent="0.25">
      <c r="A28" s="8" t="s">
        <v>1471</v>
      </c>
    </row>
  </sheetData>
  <hyperlinks>
    <hyperlink ref="A4" location="Índice!A1" display="Índice" xr:uid="{7617A844-A35D-4E23-A4F6-403287939F47}"/>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1634-A3C6-40EC-90D6-36DEA60DC96F}">
  <sheetPr codeName="Sheet52">
    <tabColor theme="0" tint="-4.9989318521683403E-2"/>
  </sheetPr>
  <dimension ref="A4:AJ40"/>
  <sheetViews>
    <sheetView showGridLines="0" zoomScaleNormal="100" workbookViewId="0">
      <selection activeCell="M41" sqref="M41"/>
    </sheetView>
  </sheetViews>
  <sheetFormatPr defaultRowHeight="15" x14ac:dyDescent="0.25"/>
  <cols>
    <col min="1" max="2" width="25.85546875" customWidth="1"/>
    <col min="3" max="3" width="20.5703125" customWidth="1"/>
    <col min="4" max="22" width="6.85546875" customWidth="1"/>
    <col min="23" max="25" width="5.5703125" bestFit="1" customWidth="1"/>
    <col min="26" max="26" width="5.42578125" bestFit="1" customWidth="1"/>
    <col min="27" max="36" width="5" bestFit="1" customWidth="1"/>
  </cols>
  <sheetData>
    <row r="4" spans="1:22" x14ac:dyDescent="0.25">
      <c r="A4" s="39" t="s">
        <v>3</v>
      </c>
    </row>
    <row r="5" spans="1:22" ht="18.75" x14ac:dyDescent="0.25">
      <c r="A5" s="6" t="s">
        <v>180</v>
      </c>
    </row>
    <row r="6" spans="1:22" x14ac:dyDescent="0.25">
      <c r="A6" s="78" t="str">
        <f>+Índice!A84</f>
        <v>Caixa 7 - Trajetórias para a dívida pública portuguesa/Box 7 - Trajectories for Portuguese public debt</v>
      </c>
    </row>
    <row r="7" spans="1:22" ht="18.75" x14ac:dyDescent="0.25">
      <c r="A7" s="6"/>
    </row>
    <row r="8" spans="1:22" ht="18.75" x14ac:dyDescent="0.25">
      <c r="A8" s="6"/>
    </row>
    <row r="9" spans="1:22" x14ac:dyDescent="0.25">
      <c r="A9" s="7"/>
    </row>
    <row r="10" spans="1:22" x14ac:dyDescent="0.25">
      <c r="A10" s="41" t="s">
        <v>1593</v>
      </c>
    </row>
    <row r="11" spans="1:22" x14ac:dyDescent="0.25">
      <c r="A11" s="41" t="s">
        <v>1594</v>
      </c>
    </row>
    <row r="13" spans="1:22" x14ac:dyDescent="0.25">
      <c r="C13" s="42" t="s">
        <v>44</v>
      </c>
      <c r="D13" s="43"/>
      <c r="E13" s="43"/>
      <c r="F13" s="43"/>
      <c r="G13" s="43"/>
      <c r="H13" s="43"/>
      <c r="I13" s="43"/>
    </row>
    <row r="14" spans="1:22" x14ac:dyDescent="0.25">
      <c r="C14" s="44"/>
      <c r="D14" s="44"/>
      <c r="E14" s="44"/>
      <c r="F14" s="44"/>
      <c r="G14" s="44"/>
      <c r="H14" s="44"/>
      <c r="I14" s="44"/>
    </row>
    <row r="15" spans="1:22" x14ac:dyDescent="0.25">
      <c r="C15" s="43"/>
      <c r="D15" s="43"/>
      <c r="E15" s="43"/>
      <c r="F15" s="43"/>
      <c r="G15" s="43"/>
      <c r="H15" s="43"/>
      <c r="I15" s="43"/>
    </row>
    <row r="16" spans="1:22" x14ac:dyDescent="0.25">
      <c r="B16" s="8"/>
      <c r="C16" s="45"/>
      <c r="D16" s="91">
        <v>2015</v>
      </c>
      <c r="E16" s="91">
        <v>2016</v>
      </c>
      <c r="F16" s="91">
        <v>2017</v>
      </c>
      <c r="G16" s="91">
        <v>2018</v>
      </c>
      <c r="H16" s="91">
        <v>2019</v>
      </c>
      <c r="I16" s="91">
        <v>2020</v>
      </c>
      <c r="J16" s="91">
        <v>2021</v>
      </c>
      <c r="K16" s="91">
        <v>2022</v>
      </c>
      <c r="L16" s="91">
        <v>2023</v>
      </c>
      <c r="M16" s="91">
        <v>2024</v>
      </c>
      <c r="N16" s="91">
        <v>2025</v>
      </c>
      <c r="O16" s="91">
        <v>2026</v>
      </c>
      <c r="P16" s="91">
        <v>2027</v>
      </c>
      <c r="Q16" s="91">
        <v>2028</v>
      </c>
      <c r="R16" s="91">
        <v>2029</v>
      </c>
      <c r="S16" s="91">
        <v>2030</v>
      </c>
      <c r="T16" s="91">
        <v>2031</v>
      </c>
      <c r="U16" s="91">
        <v>2032</v>
      </c>
      <c r="V16" s="91">
        <v>2033</v>
      </c>
    </row>
    <row r="17" spans="1:36" x14ac:dyDescent="0.25">
      <c r="A17" s="137" t="s">
        <v>1489</v>
      </c>
      <c r="B17" s="8" t="s">
        <v>1488</v>
      </c>
      <c r="C17" s="393"/>
      <c r="D17" s="45"/>
      <c r="E17" s="45"/>
      <c r="F17" s="45"/>
      <c r="G17" s="45"/>
      <c r="H17" s="45"/>
      <c r="I17" s="16"/>
    </row>
    <row r="18" spans="1:36" x14ac:dyDescent="0.25">
      <c r="A18" s="137" t="s">
        <v>1491</v>
      </c>
      <c r="B18" s="8" t="s">
        <v>1490</v>
      </c>
      <c r="C18" s="393" t="s">
        <v>1505</v>
      </c>
      <c r="D18" s="16">
        <v>-4.4487832891524661</v>
      </c>
      <c r="E18" s="16">
        <v>-1.9350229616780505</v>
      </c>
      <c r="F18" s="16">
        <v>-2.9560150728402808</v>
      </c>
      <c r="G18" s="16">
        <v>-0.34898460272686599</v>
      </c>
      <c r="H18" s="16">
        <v>0.11532941726030815</v>
      </c>
      <c r="I18" s="16">
        <v>-5.8194052460671539</v>
      </c>
      <c r="J18" s="16">
        <v>-2.8767351935050414</v>
      </c>
      <c r="K18" s="16">
        <v>-0.32150148746621565</v>
      </c>
      <c r="L18" s="16">
        <v>1.2028129845320406</v>
      </c>
      <c r="M18" s="16">
        <v>1.0381843042881518</v>
      </c>
      <c r="N18" s="16">
        <v>0.78410314032874406</v>
      </c>
      <c r="O18" s="16">
        <v>0.66147947456399936</v>
      </c>
      <c r="P18" s="16">
        <v>0.48634228879026653</v>
      </c>
      <c r="Q18" s="16">
        <v>0.26181912160091564</v>
      </c>
      <c r="R18" s="16">
        <v>1.880840312971728E-2</v>
      </c>
      <c r="S18" s="16">
        <v>-0.23155739036731032</v>
      </c>
      <c r="T18" s="16">
        <v>-0.44896619220675454</v>
      </c>
      <c r="U18" s="16">
        <v>-0.69452960753740023</v>
      </c>
      <c r="V18" s="16">
        <v>-0.94412782673320006</v>
      </c>
    </row>
    <row r="19" spans="1:36" x14ac:dyDescent="0.25">
      <c r="A19" s="137" t="s">
        <v>1493</v>
      </c>
      <c r="B19" s="8" t="s">
        <v>1492</v>
      </c>
      <c r="C19" s="393" t="s">
        <v>1505</v>
      </c>
      <c r="D19" s="16"/>
      <c r="E19" s="16"/>
      <c r="F19" s="16"/>
      <c r="G19" s="16"/>
      <c r="H19" s="16"/>
      <c r="I19" s="16"/>
      <c r="J19" s="16"/>
      <c r="K19" s="16"/>
      <c r="L19" s="16">
        <v>1.2028129845320406</v>
      </c>
      <c r="M19" s="16">
        <v>0.24308734506069579</v>
      </c>
      <c r="N19" s="16">
        <v>-1.1117983452501674</v>
      </c>
      <c r="O19" s="16">
        <v>-2.2276336286677401</v>
      </c>
      <c r="P19" s="16">
        <v>-2.5150724432094465</v>
      </c>
      <c r="Q19" s="16">
        <v>-2.8404605513969123</v>
      </c>
      <c r="R19" s="16">
        <v>-2.9824807515293879</v>
      </c>
      <c r="S19" s="16">
        <v>-3.0164291651100994</v>
      </c>
      <c r="T19" s="16">
        <v>-2.9963723014049397</v>
      </c>
      <c r="U19" s="16">
        <v>-2.9923710269822492</v>
      </c>
      <c r="V19" s="16">
        <v>-2.9708568785759559</v>
      </c>
    </row>
    <row r="20" spans="1:36" x14ac:dyDescent="0.25">
      <c r="A20" s="137" t="s">
        <v>1495</v>
      </c>
      <c r="B20" s="8" t="s">
        <v>1494</v>
      </c>
      <c r="C20" s="393" t="s">
        <v>1505</v>
      </c>
      <c r="D20" s="16"/>
      <c r="E20" s="16"/>
      <c r="F20" s="16"/>
      <c r="G20" s="16"/>
      <c r="H20" s="16"/>
      <c r="I20" s="16"/>
      <c r="J20" s="16"/>
      <c r="K20" s="16"/>
      <c r="L20" s="16">
        <v>1.2028129845320406</v>
      </c>
      <c r="M20" s="16">
        <v>1.0620380066299897</v>
      </c>
      <c r="N20" s="16">
        <v>-0.31525973491308956</v>
      </c>
      <c r="O20" s="16">
        <v>-1.6262633396555217</v>
      </c>
      <c r="P20" s="16">
        <v>-1.6848427592796482</v>
      </c>
      <c r="Q20" s="16">
        <v>-1.6381457412708393</v>
      </c>
      <c r="R20" s="16">
        <v>-1.5932634186610684</v>
      </c>
      <c r="S20" s="16">
        <v>-1.5379735647403434</v>
      </c>
      <c r="T20" s="16">
        <v>-1.433540308486301</v>
      </c>
      <c r="U20" s="16">
        <v>-1.3399123894284657</v>
      </c>
      <c r="V20" s="16">
        <v>-1.2293622647394207</v>
      </c>
    </row>
    <row r="21" spans="1:36" x14ac:dyDescent="0.25">
      <c r="A21" s="137" t="s">
        <v>1497</v>
      </c>
      <c r="B21" s="8" t="s">
        <v>1496</v>
      </c>
      <c r="C21" s="393" t="s">
        <v>1505</v>
      </c>
      <c r="D21" s="16"/>
      <c r="E21" s="16"/>
      <c r="F21" s="16"/>
      <c r="G21" s="16"/>
      <c r="H21" s="16"/>
      <c r="I21" s="16"/>
      <c r="J21" s="16"/>
      <c r="K21" s="16"/>
      <c r="L21" s="16">
        <v>1.2028129845320406</v>
      </c>
      <c r="M21" s="16">
        <v>0.7811878334701815</v>
      </c>
      <c r="N21" s="16">
        <v>0.34524694601168804</v>
      </c>
      <c r="O21" s="16">
        <v>0.17664077706245881</v>
      </c>
      <c r="P21" s="16">
        <v>1.2918631224451877E-2</v>
      </c>
      <c r="Q21" s="16">
        <v>-0.18135753985540309</v>
      </c>
      <c r="R21" s="16">
        <v>-0.39380173841997107</v>
      </c>
      <c r="S21" s="16">
        <v>-0.61333695405302346</v>
      </c>
      <c r="T21" s="16">
        <v>-0.79860629959150309</v>
      </c>
      <c r="U21" s="16">
        <v>-1.0227465775875999</v>
      </c>
      <c r="V21" s="16">
        <v>-1.2516455612031414</v>
      </c>
      <c r="W21" s="16"/>
      <c r="X21" s="16"/>
      <c r="Y21" s="16"/>
      <c r="Z21" s="16"/>
      <c r="AA21" s="16"/>
      <c r="AB21" s="16"/>
      <c r="AC21" s="16"/>
      <c r="AD21" s="16"/>
      <c r="AE21" s="16"/>
      <c r="AF21" s="16"/>
      <c r="AG21" s="16"/>
      <c r="AH21" s="16"/>
      <c r="AI21" s="16"/>
      <c r="AJ21" s="16"/>
    </row>
    <row r="22" spans="1:36" x14ac:dyDescent="0.25">
      <c r="C22" s="28"/>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spans="1:36" x14ac:dyDescent="0.25">
      <c r="A23" t="s">
        <v>1499</v>
      </c>
      <c r="B23" s="8" t="s">
        <v>1498</v>
      </c>
      <c r="C23" s="394"/>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spans="1:36" x14ac:dyDescent="0.25">
      <c r="A24" t="s">
        <v>1491</v>
      </c>
      <c r="B24" s="8" t="s">
        <v>1490</v>
      </c>
      <c r="C24" s="394" t="s">
        <v>4</v>
      </c>
      <c r="D24" s="16">
        <v>3.5813951231806307</v>
      </c>
      <c r="E24" s="16">
        <v>3.2827335929667654</v>
      </c>
      <c r="F24" s="16">
        <v>3.0169358532766872</v>
      </c>
      <c r="G24" s="16">
        <v>2.7925768878030399</v>
      </c>
      <c r="H24" s="16">
        <v>2.5371712933229227</v>
      </c>
      <c r="I24" s="16">
        <v>2.3149744658084321</v>
      </c>
      <c r="J24" s="16">
        <v>1.9190464344418452</v>
      </c>
      <c r="K24" s="16">
        <v>1.7333310659671204</v>
      </c>
      <c r="L24" s="16">
        <v>2.111250773520883</v>
      </c>
      <c r="M24" s="16">
        <v>2.4348180826594912</v>
      </c>
      <c r="N24" s="16">
        <v>2.4990888410005865</v>
      </c>
      <c r="O24" s="16">
        <v>2.5501588588784299</v>
      </c>
      <c r="P24" s="16">
        <v>2.6093934426766174</v>
      </c>
      <c r="Q24" s="16">
        <v>2.6807455614043088</v>
      </c>
      <c r="R24" s="16">
        <v>2.7630394844776265</v>
      </c>
      <c r="S24" s="16">
        <v>2.84653918766708</v>
      </c>
      <c r="T24" s="16">
        <v>2.9242193539412931</v>
      </c>
      <c r="U24" s="16">
        <v>3.057583502225913</v>
      </c>
      <c r="V24" s="16">
        <v>3.1905330334734412</v>
      </c>
      <c r="W24" s="16"/>
      <c r="X24" s="16"/>
      <c r="Y24" s="16"/>
      <c r="Z24" s="16"/>
      <c r="AA24" s="16"/>
      <c r="AB24" s="16"/>
      <c r="AC24" s="16"/>
      <c r="AD24" s="16"/>
      <c r="AE24" s="16"/>
      <c r="AF24" s="16"/>
      <c r="AG24" s="16"/>
      <c r="AH24" s="16"/>
      <c r="AI24" s="16"/>
      <c r="AJ24" s="16"/>
    </row>
    <row r="25" spans="1:36" x14ac:dyDescent="0.25">
      <c r="A25" t="s">
        <v>1493</v>
      </c>
      <c r="B25" s="8" t="s">
        <v>1492</v>
      </c>
      <c r="C25" s="394" t="s">
        <v>4</v>
      </c>
      <c r="D25" s="16"/>
      <c r="E25" s="16"/>
      <c r="F25" s="16"/>
      <c r="G25" s="16"/>
      <c r="H25" s="16"/>
      <c r="I25" s="16"/>
      <c r="J25" s="16"/>
      <c r="K25" s="16"/>
      <c r="L25" s="16">
        <v>2.111250773520883</v>
      </c>
      <c r="M25" s="16">
        <v>2.4803967480943818</v>
      </c>
      <c r="N25" s="16">
        <v>2.6988744340852455</v>
      </c>
      <c r="O25" s="16">
        <v>2.8575653200032392</v>
      </c>
      <c r="P25" s="16">
        <v>2.9447038839556288</v>
      </c>
      <c r="Q25" s="16">
        <v>3.0442788312045712</v>
      </c>
      <c r="R25" s="16">
        <v>3.1426163139885008</v>
      </c>
      <c r="S25" s="16">
        <v>3.2229717691451314</v>
      </c>
      <c r="T25" s="16">
        <v>3.2807740093928586</v>
      </c>
      <c r="U25" s="16">
        <v>3.3752254891654387</v>
      </c>
      <c r="V25" s="16">
        <v>3.4497946468126095</v>
      </c>
      <c r="W25" s="16"/>
      <c r="X25" s="16"/>
      <c r="Y25" s="16"/>
      <c r="Z25" s="16"/>
      <c r="AA25" s="16"/>
      <c r="AB25" s="16"/>
      <c r="AC25" s="16"/>
      <c r="AD25" s="16"/>
      <c r="AE25" s="16"/>
      <c r="AF25" s="16"/>
      <c r="AG25" s="16"/>
      <c r="AH25" s="16"/>
      <c r="AI25" s="16"/>
      <c r="AJ25" s="16"/>
    </row>
    <row r="26" spans="1:36" x14ac:dyDescent="0.25">
      <c r="A26" t="s">
        <v>1495</v>
      </c>
      <c r="B26" s="8" t="s">
        <v>1494</v>
      </c>
      <c r="C26" s="394" t="s">
        <v>4</v>
      </c>
      <c r="D26" s="16"/>
      <c r="E26" s="16"/>
      <c r="F26" s="16"/>
      <c r="G26" s="16"/>
      <c r="H26" s="16"/>
      <c r="I26" s="16"/>
      <c r="J26" s="16"/>
      <c r="K26" s="16"/>
      <c r="L26" s="16">
        <v>2.111250773520883</v>
      </c>
      <c r="M26" s="16">
        <v>2.4348180826594912</v>
      </c>
      <c r="N26" s="16">
        <v>2.6241806258477949</v>
      </c>
      <c r="O26" s="16">
        <v>2.7630676097611189</v>
      </c>
      <c r="P26" s="16">
        <v>2.8213464976427591</v>
      </c>
      <c r="Q26" s="16">
        <v>2.87817547181037</v>
      </c>
      <c r="R26" s="16">
        <v>2.931981405717484</v>
      </c>
      <c r="S26" s="16">
        <v>2.9731781117488101</v>
      </c>
      <c r="T26" s="16">
        <v>2.9972181539249538</v>
      </c>
      <c r="U26" s="16">
        <v>3.0587385802160649</v>
      </c>
      <c r="V26" s="16">
        <v>3.1052124744101706</v>
      </c>
      <c r="W26" s="16"/>
      <c r="X26" s="16"/>
      <c r="Y26" s="16"/>
      <c r="Z26" s="16"/>
      <c r="AA26" s="16"/>
      <c r="AB26" s="16"/>
      <c r="AC26" s="16"/>
      <c r="AD26" s="16"/>
      <c r="AE26" s="16"/>
      <c r="AF26" s="16"/>
      <c r="AG26" s="16"/>
      <c r="AH26" s="16"/>
      <c r="AI26" s="16"/>
      <c r="AJ26" s="16"/>
    </row>
    <row r="27" spans="1:36" x14ac:dyDescent="0.25">
      <c r="A27" t="s">
        <v>1497</v>
      </c>
      <c r="B27" s="8" t="s">
        <v>1496</v>
      </c>
      <c r="C27" s="394" t="s">
        <v>4</v>
      </c>
      <c r="D27" s="16"/>
      <c r="E27" s="16"/>
      <c r="F27" s="16"/>
      <c r="G27" s="16"/>
      <c r="H27" s="16"/>
      <c r="I27" s="16"/>
      <c r="J27" s="16"/>
      <c r="K27" s="16"/>
      <c r="L27" s="16">
        <v>2.111250773520883</v>
      </c>
      <c r="M27" s="16">
        <v>2.7349246876679905</v>
      </c>
      <c r="N27" s="16">
        <v>3.0128021437968844</v>
      </c>
      <c r="O27" s="16">
        <v>3.1313254437825688</v>
      </c>
      <c r="P27" s="16">
        <v>3.1600263183857495</v>
      </c>
      <c r="Q27" s="16">
        <v>3.1946062720485204</v>
      </c>
      <c r="R27" s="16">
        <v>3.2345108192671903</v>
      </c>
      <c r="S27" s="16">
        <v>3.2717045201670798</v>
      </c>
      <c r="T27" s="16">
        <v>3.2999871608561206</v>
      </c>
      <c r="U27" s="16">
        <v>3.3944333367162312</v>
      </c>
      <c r="V27" s="16">
        <v>3.4872048706324543</v>
      </c>
    </row>
    <row r="28" spans="1:36" x14ac:dyDescent="0.25">
      <c r="C28" s="28"/>
      <c r="D28" s="16"/>
      <c r="E28" s="16"/>
      <c r="F28" s="16"/>
      <c r="G28" s="16"/>
      <c r="H28" s="16"/>
      <c r="I28" s="16"/>
      <c r="J28" s="16"/>
      <c r="K28" s="16"/>
      <c r="L28" s="16"/>
      <c r="M28" s="16"/>
      <c r="N28" s="16"/>
      <c r="O28" s="16"/>
      <c r="P28" s="16"/>
      <c r="Q28" s="16"/>
      <c r="R28" s="16"/>
      <c r="S28" s="16"/>
      <c r="T28" s="16"/>
      <c r="U28" s="16"/>
      <c r="V28" s="16"/>
    </row>
    <row r="29" spans="1:36" x14ac:dyDescent="0.25">
      <c r="A29" t="s">
        <v>1501</v>
      </c>
      <c r="B29" s="8" t="s">
        <v>1500</v>
      </c>
      <c r="C29" s="394"/>
      <c r="D29" s="16"/>
      <c r="E29" s="16"/>
      <c r="F29" s="16"/>
      <c r="G29" s="16"/>
      <c r="H29" s="16"/>
      <c r="I29" s="16"/>
      <c r="J29" s="16"/>
      <c r="K29" s="16"/>
      <c r="L29" s="16"/>
      <c r="M29" s="16"/>
      <c r="N29" s="16"/>
      <c r="O29" s="16"/>
      <c r="P29" s="16"/>
      <c r="Q29" s="16"/>
      <c r="R29" s="16"/>
      <c r="S29" s="16"/>
      <c r="T29" s="16"/>
      <c r="U29" s="16"/>
      <c r="V29" s="16"/>
    </row>
    <row r="30" spans="1:36" x14ac:dyDescent="0.25">
      <c r="A30" t="s">
        <v>1491</v>
      </c>
      <c r="B30" s="8" t="s">
        <v>1490</v>
      </c>
      <c r="C30" s="394" t="s">
        <v>4</v>
      </c>
      <c r="D30" s="16">
        <v>-2.7360602311921589</v>
      </c>
      <c r="E30" s="16">
        <v>-2.0364976046718359</v>
      </c>
      <c r="F30" s="16">
        <v>-0.33003027281587144</v>
      </c>
      <c r="G30" s="16">
        <v>0.77784734867196093</v>
      </c>
      <c r="H30" s="16">
        <v>1.5711347471108277</v>
      </c>
      <c r="I30" s="16">
        <v>-6.7303480125425317</v>
      </c>
      <c r="J30" s="16">
        <v>-2.8666649788098972</v>
      </c>
      <c r="K30" s="16">
        <v>1.4814533495759432</v>
      </c>
      <c r="L30" s="16">
        <v>1.6425427685572453</v>
      </c>
      <c r="M30" s="16">
        <v>0.92410023028431743</v>
      </c>
      <c r="N30" s="16">
        <v>0.83061482531395026</v>
      </c>
      <c r="O30" s="16">
        <v>0.81278006551388027</v>
      </c>
      <c r="P30" s="16">
        <v>0.6127800655138802</v>
      </c>
      <c r="Q30" s="16">
        <v>0.41278006551388019</v>
      </c>
      <c r="R30" s="16">
        <v>0.21278006551388018</v>
      </c>
      <c r="S30" s="16">
        <v>1.2780065513880168E-2</v>
      </c>
      <c r="T30" s="16">
        <v>0</v>
      </c>
      <c r="U30" s="16">
        <v>0</v>
      </c>
      <c r="V30" s="16">
        <v>0</v>
      </c>
    </row>
    <row r="31" spans="1:36" x14ac:dyDescent="0.25">
      <c r="A31" t="s">
        <v>1495</v>
      </c>
      <c r="B31" s="8" t="s">
        <v>1494</v>
      </c>
      <c r="C31" s="394" t="s">
        <v>4</v>
      </c>
      <c r="D31" s="16"/>
      <c r="E31" s="16"/>
      <c r="F31" s="16"/>
      <c r="G31" s="16"/>
      <c r="H31" s="16"/>
      <c r="I31" s="16"/>
      <c r="J31" s="16"/>
      <c r="K31" s="16"/>
      <c r="L31" s="16">
        <v>1.6425427685572453</v>
      </c>
      <c r="M31" s="16">
        <v>0.92410023028431743</v>
      </c>
      <c r="N31" s="16">
        <v>-1.1355504119876094</v>
      </c>
      <c r="O31" s="16">
        <v>-3.0823343402555325</v>
      </c>
      <c r="P31" s="16">
        <v>-2.7317028791595561</v>
      </c>
      <c r="Q31" s="16">
        <v>-2.3777264538127594</v>
      </c>
      <c r="R31" s="16">
        <v>-2.0212196888868483</v>
      </c>
      <c r="S31" s="16">
        <v>-1.6633186129374684</v>
      </c>
      <c r="T31" s="16">
        <v>-1.1207176816635762</v>
      </c>
      <c r="U31" s="16">
        <v>-0.56232024759109878</v>
      </c>
      <c r="V31" s="16">
        <v>-7.3175335385892949E-4</v>
      </c>
    </row>
    <row r="32" spans="1:36" x14ac:dyDescent="0.25">
      <c r="C32" s="28"/>
      <c r="D32" s="16"/>
      <c r="E32" s="16"/>
      <c r="F32" s="16"/>
      <c r="G32" s="16"/>
      <c r="H32" s="16"/>
      <c r="I32" s="16"/>
      <c r="J32" s="16"/>
      <c r="K32" s="16"/>
      <c r="L32" s="16"/>
      <c r="M32" s="16"/>
      <c r="N32" s="16"/>
      <c r="O32" s="16"/>
      <c r="P32" s="16"/>
      <c r="Q32" s="16"/>
      <c r="R32" s="16"/>
      <c r="S32" s="16"/>
      <c r="T32" s="16"/>
      <c r="U32" s="16"/>
      <c r="V32" s="16"/>
    </row>
    <row r="33" spans="1:22" x14ac:dyDescent="0.25">
      <c r="A33" t="s">
        <v>1503</v>
      </c>
      <c r="B33" s="8" t="s">
        <v>1502</v>
      </c>
      <c r="C33" s="393"/>
      <c r="D33" s="16"/>
      <c r="E33" s="16"/>
      <c r="F33" s="16"/>
      <c r="G33" s="16"/>
      <c r="H33" s="16"/>
      <c r="I33" s="16"/>
      <c r="J33" s="16"/>
      <c r="K33" s="16"/>
      <c r="L33" s="16"/>
      <c r="M33" s="16"/>
      <c r="N33" s="16"/>
      <c r="O33" s="16"/>
      <c r="P33" s="16"/>
      <c r="Q33" s="16"/>
      <c r="R33" s="16"/>
      <c r="S33" s="16"/>
      <c r="T33" s="16"/>
      <c r="U33" s="16"/>
      <c r="V33" s="16"/>
    </row>
    <row r="34" spans="1:22" x14ac:dyDescent="0.25">
      <c r="A34" t="s">
        <v>1491</v>
      </c>
      <c r="B34" s="8" t="s">
        <v>1490</v>
      </c>
      <c r="C34" s="393" t="s">
        <v>1505</v>
      </c>
      <c r="D34" s="16">
        <v>131.17912426596376</v>
      </c>
      <c r="E34" s="16">
        <v>131.50573147013282</v>
      </c>
      <c r="F34" s="16">
        <v>126.14343284498078</v>
      </c>
      <c r="G34" s="16">
        <v>121.48136102154257</v>
      </c>
      <c r="H34" s="16">
        <v>116.60778092358912</v>
      </c>
      <c r="I34" s="16">
        <v>134.89746705690848</v>
      </c>
      <c r="J34" s="16">
        <v>124.54758045364913</v>
      </c>
      <c r="K34" s="16">
        <v>112.41492094084525</v>
      </c>
      <c r="L34" s="16">
        <v>99.089225976140213</v>
      </c>
      <c r="M34" s="16">
        <v>92.491104980547348</v>
      </c>
      <c r="N34" s="16">
        <v>87.171177307291615</v>
      </c>
      <c r="O34" s="16">
        <v>82.55961795556361</v>
      </c>
      <c r="P34" s="16">
        <v>79.193522261101435</v>
      </c>
      <c r="Q34" s="16">
        <v>76.514744738852002</v>
      </c>
      <c r="R34" s="16">
        <v>74.380962497997302</v>
      </c>
      <c r="S34" s="16">
        <v>72.619840284333762</v>
      </c>
      <c r="T34" s="16">
        <v>70.953506380510788</v>
      </c>
      <c r="U34" s="16">
        <v>69.593116354719726</v>
      </c>
      <c r="V34" s="16">
        <v>68.526253390781392</v>
      </c>
    </row>
    <row r="35" spans="1:22" x14ac:dyDescent="0.25">
      <c r="A35" t="s">
        <v>1493</v>
      </c>
      <c r="B35" s="8" t="s">
        <v>1492</v>
      </c>
      <c r="C35" s="393" t="s">
        <v>1505</v>
      </c>
      <c r="D35" s="16"/>
      <c r="E35" s="16"/>
      <c r="F35" s="16"/>
      <c r="G35" s="16"/>
      <c r="H35" s="16"/>
      <c r="I35" s="16"/>
      <c r="J35" s="16"/>
      <c r="K35" s="16"/>
      <c r="L35" s="16">
        <v>99.089225976140213</v>
      </c>
      <c r="M35" s="16">
        <v>93.286201939774813</v>
      </c>
      <c r="N35" s="16">
        <v>89.823183675027678</v>
      </c>
      <c r="O35" s="16">
        <v>87.980564253346216</v>
      </c>
      <c r="P35" s="16">
        <v>87.426795829609347</v>
      </c>
      <c r="Q35" s="16">
        <v>87.599021371512961</v>
      </c>
      <c r="R35" s="16">
        <v>88.16014348107872</v>
      </c>
      <c r="S35" s="16">
        <v>88.814746260735546</v>
      </c>
      <c r="T35" s="16">
        <v>89.224086690979533</v>
      </c>
      <c r="U35" s="16">
        <v>89.632394760962441</v>
      </c>
      <c r="V35" s="16">
        <v>90.013197768529253</v>
      </c>
    </row>
    <row r="36" spans="1:22" x14ac:dyDescent="0.25">
      <c r="A36" t="s">
        <v>1495</v>
      </c>
      <c r="B36" s="8" t="s">
        <v>1494</v>
      </c>
      <c r="C36" s="393" t="s">
        <v>1505</v>
      </c>
      <c r="D36" s="16"/>
      <c r="E36" s="16"/>
      <c r="F36" s="16"/>
      <c r="G36" s="16"/>
      <c r="H36" s="16"/>
      <c r="I36" s="16"/>
      <c r="J36" s="16"/>
      <c r="K36" s="16"/>
      <c r="L36" s="16">
        <v>99.089225976140213</v>
      </c>
      <c r="M36" s="16">
        <v>92.467251278205509</v>
      </c>
      <c r="N36" s="16">
        <v>89.996614457649883</v>
      </c>
      <c r="O36" s="16">
        <v>89.255107378383684</v>
      </c>
      <c r="P36" s="16">
        <v>87.345850636517739</v>
      </c>
      <c r="Q36" s="16">
        <v>85.843465145630788</v>
      </c>
      <c r="R36" s="16">
        <v>84.594528630696445</v>
      </c>
      <c r="S36" s="16">
        <v>83.402852915551733</v>
      </c>
      <c r="T36" s="16">
        <v>81.952368234815367</v>
      </c>
      <c r="U36" s="16">
        <v>80.471938048382555</v>
      </c>
      <c r="V36" s="16">
        <v>78.937085237418586</v>
      </c>
    </row>
    <row r="37" spans="1:22" x14ac:dyDescent="0.25">
      <c r="A37" t="s">
        <v>1497</v>
      </c>
      <c r="B37" s="8" t="s">
        <v>1496</v>
      </c>
      <c r="C37" s="393" t="s">
        <v>1505</v>
      </c>
      <c r="D37" s="16"/>
      <c r="E37" s="16"/>
      <c r="F37" s="16"/>
      <c r="G37" s="16"/>
      <c r="H37" s="16"/>
      <c r="I37" s="16"/>
      <c r="J37" s="16"/>
      <c r="K37" s="16"/>
      <c r="L37" s="16">
        <v>99.089225976140213</v>
      </c>
      <c r="M37" s="16">
        <v>92.748101451365329</v>
      </c>
      <c r="N37" s="16">
        <v>87.854426696712096</v>
      </c>
      <c r="O37" s="16">
        <v>83.696745239298124</v>
      </c>
      <c r="P37" s="16">
        <v>80.764409184458032</v>
      </c>
      <c r="Q37" s="16">
        <v>78.480865408165371</v>
      </c>
      <c r="R37" s="16">
        <v>76.70534700225501</v>
      </c>
      <c r="S37" s="16">
        <v>75.263733665827203</v>
      </c>
      <c r="T37" s="16">
        <v>73.870027473026383</v>
      </c>
      <c r="U37" s="16">
        <v>72.753387605710543</v>
      </c>
      <c r="V37" s="16">
        <v>71.902721902111153</v>
      </c>
    </row>
    <row r="38" spans="1:22" x14ac:dyDescent="0.25">
      <c r="C38" s="28"/>
    </row>
    <row r="39" spans="1:22" x14ac:dyDescent="0.25">
      <c r="A39" t="s">
        <v>1506</v>
      </c>
    </row>
    <row r="40" spans="1:22" x14ac:dyDescent="0.25">
      <c r="A40" s="8" t="s">
        <v>1626</v>
      </c>
    </row>
  </sheetData>
  <hyperlinks>
    <hyperlink ref="A4" location="Índice!A1" display="Índice" xr:uid="{5E3FBD92-92F1-40B3-9DE6-77BE7B35055B}"/>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0BBB-5A3D-4A0B-9195-DF884B53B99B}">
  <sheetPr codeName="Sheet53">
    <tabColor theme="0" tint="-4.9989318521683403E-2"/>
  </sheetPr>
  <dimension ref="A4:AJ31"/>
  <sheetViews>
    <sheetView showGridLines="0" zoomScaleNormal="100" workbookViewId="0">
      <selection activeCell="A12" sqref="A12"/>
    </sheetView>
  </sheetViews>
  <sheetFormatPr defaultRowHeight="15" x14ac:dyDescent="0.25"/>
  <cols>
    <col min="1" max="2" width="25.85546875" customWidth="1"/>
    <col min="3" max="3" width="20.5703125" customWidth="1"/>
    <col min="4" max="22" width="6.85546875" customWidth="1"/>
    <col min="23" max="25" width="5.5703125" bestFit="1" customWidth="1"/>
    <col min="26" max="26" width="5.42578125" bestFit="1" customWidth="1"/>
    <col min="27" max="36" width="5" bestFit="1" customWidth="1"/>
  </cols>
  <sheetData>
    <row r="4" spans="1:22" x14ac:dyDescent="0.25">
      <c r="A4" s="39" t="s">
        <v>3</v>
      </c>
    </row>
    <row r="5" spans="1:22" ht="18.75" x14ac:dyDescent="0.25">
      <c r="A5" s="6" t="s">
        <v>180</v>
      </c>
    </row>
    <row r="6" spans="1:22" x14ac:dyDescent="0.25">
      <c r="A6" s="78" t="str">
        <f>+Índice!A84</f>
        <v>Caixa 7 - Trajetórias para a dívida pública portuguesa/Box 7 - Trajectories for Portuguese public debt</v>
      </c>
    </row>
    <row r="7" spans="1:22" ht="18.75" x14ac:dyDescent="0.25">
      <c r="A7" s="6"/>
    </row>
    <row r="8" spans="1:22" ht="18.75" x14ac:dyDescent="0.25">
      <c r="A8" s="6"/>
    </row>
    <row r="9" spans="1:22" x14ac:dyDescent="0.25">
      <c r="A9" s="7"/>
    </row>
    <row r="10" spans="1:22" x14ac:dyDescent="0.25">
      <c r="A10" s="41" t="s">
        <v>1600</v>
      </c>
    </row>
    <row r="11" spans="1:22" x14ac:dyDescent="0.25">
      <c r="A11" s="41" t="s">
        <v>1601</v>
      </c>
    </row>
    <row r="13" spans="1:22" x14ac:dyDescent="0.25">
      <c r="C13" s="42" t="s">
        <v>44</v>
      </c>
      <c r="D13" s="43"/>
      <c r="E13" s="43"/>
      <c r="F13" s="43"/>
      <c r="G13" s="43"/>
      <c r="H13" s="43"/>
      <c r="I13" s="43"/>
    </row>
    <row r="14" spans="1:22" x14ac:dyDescent="0.25">
      <c r="C14" s="44"/>
      <c r="D14" s="44"/>
      <c r="E14" s="44"/>
      <c r="F14" s="44"/>
      <c r="G14" s="44"/>
      <c r="H14" s="44"/>
      <c r="I14" s="44"/>
    </row>
    <row r="15" spans="1:22" x14ac:dyDescent="0.25">
      <c r="C15" s="43"/>
      <c r="D15" s="43"/>
      <c r="E15" s="43"/>
      <c r="F15" s="43"/>
      <c r="G15" s="43"/>
      <c r="H15" s="43"/>
      <c r="I15" s="43"/>
    </row>
    <row r="16" spans="1:22" x14ac:dyDescent="0.25">
      <c r="B16" s="8"/>
      <c r="C16" s="45"/>
      <c r="D16" s="91">
        <v>2015</v>
      </c>
      <c r="E16" s="91">
        <v>2016</v>
      </c>
      <c r="F16" s="91">
        <v>2017</v>
      </c>
      <c r="G16" s="91">
        <v>2018</v>
      </c>
      <c r="H16" s="91">
        <v>2019</v>
      </c>
      <c r="I16" s="91">
        <v>2020</v>
      </c>
      <c r="J16" s="91">
        <v>2021</v>
      </c>
      <c r="K16" s="91">
        <v>2022</v>
      </c>
      <c r="L16" s="91">
        <v>2023</v>
      </c>
      <c r="M16" s="91">
        <v>2024</v>
      </c>
      <c r="N16" s="91">
        <v>2025</v>
      </c>
      <c r="O16" s="91">
        <v>2026</v>
      </c>
      <c r="P16" s="91">
        <v>2027</v>
      </c>
      <c r="Q16" s="91">
        <v>2028</v>
      </c>
      <c r="R16" s="91">
        <v>2029</v>
      </c>
      <c r="S16" s="91">
        <v>2030</v>
      </c>
      <c r="T16" s="91">
        <v>2031</v>
      </c>
      <c r="U16" s="91">
        <v>2032</v>
      </c>
      <c r="V16" s="91">
        <v>2033</v>
      </c>
    </row>
    <row r="17" spans="1:36" x14ac:dyDescent="0.25">
      <c r="A17" s="137" t="s">
        <v>1503</v>
      </c>
      <c r="B17" s="8" t="s">
        <v>1502</v>
      </c>
      <c r="C17" s="393" t="s">
        <v>1505</v>
      </c>
      <c r="D17" s="395">
        <v>131.17912426596376</v>
      </c>
      <c r="E17" s="395">
        <v>131.50573147013282</v>
      </c>
      <c r="F17" s="395">
        <v>126.14343284498078</v>
      </c>
      <c r="G17" s="395">
        <v>121.48136102154257</v>
      </c>
      <c r="H17" s="395">
        <v>116.60778092358912</v>
      </c>
      <c r="I17" s="395">
        <v>134.89746705690848</v>
      </c>
      <c r="J17" s="395">
        <v>124.54758045364913</v>
      </c>
      <c r="K17" s="395">
        <v>112.41492094084524</v>
      </c>
      <c r="L17" s="395">
        <v>99.089225976140213</v>
      </c>
      <c r="M17" s="395"/>
      <c r="N17" s="395"/>
      <c r="O17" s="395"/>
      <c r="P17" s="395"/>
      <c r="Q17" s="395"/>
      <c r="R17" s="395"/>
      <c r="S17" s="395"/>
      <c r="T17" s="395"/>
      <c r="U17" s="395"/>
      <c r="V17" s="395"/>
    </row>
    <row r="18" spans="1:36" x14ac:dyDescent="0.25">
      <c r="A18" s="137" t="s">
        <v>1491</v>
      </c>
      <c r="B18" s="8" t="s">
        <v>1490</v>
      </c>
      <c r="C18" s="393" t="s">
        <v>1505</v>
      </c>
      <c r="D18" s="395"/>
      <c r="E18" s="395"/>
      <c r="F18" s="395"/>
      <c r="G18" s="395"/>
      <c r="H18" s="395"/>
      <c r="I18" s="395"/>
      <c r="J18" s="395"/>
      <c r="K18" s="395"/>
      <c r="L18" s="395">
        <v>99.089225976140213</v>
      </c>
      <c r="M18" s="395">
        <v>92.491104980547348</v>
      </c>
      <c r="N18" s="395">
        <v>87.171177307291615</v>
      </c>
      <c r="O18" s="395">
        <v>82.55961795556361</v>
      </c>
      <c r="P18" s="395">
        <v>79.193522261101435</v>
      </c>
      <c r="Q18" s="395">
        <v>76.514744738852002</v>
      </c>
      <c r="R18" s="395">
        <v>74.380962497997302</v>
      </c>
      <c r="S18" s="395">
        <v>72.619840284333762</v>
      </c>
      <c r="T18" s="395">
        <v>70.953506380510788</v>
      </c>
      <c r="U18" s="395">
        <v>69.593116354719726</v>
      </c>
      <c r="V18" s="395">
        <v>68.526253390781392</v>
      </c>
    </row>
    <row r="19" spans="1:36" x14ac:dyDescent="0.25">
      <c r="A19" s="137" t="s">
        <v>230</v>
      </c>
      <c r="B19" s="8" t="s">
        <v>236</v>
      </c>
      <c r="C19" s="393" t="s">
        <v>1505</v>
      </c>
      <c r="D19" s="395"/>
      <c r="E19" s="395"/>
      <c r="F19" s="395"/>
      <c r="G19" s="395"/>
      <c r="H19" s="395"/>
      <c r="I19" s="395"/>
      <c r="J19" s="395"/>
      <c r="K19" s="395"/>
      <c r="L19" s="395">
        <v>99.089225976140213</v>
      </c>
      <c r="M19" s="395">
        <v>92.760980000000004</v>
      </c>
      <c r="N19" s="395">
        <v>85.606655000000003</v>
      </c>
      <c r="O19" s="395">
        <v>79.982294999999993</v>
      </c>
      <c r="P19" s="395">
        <v>75.787495000000007</v>
      </c>
      <c r="Q19" s="395">
        <v>72.720224999999999</v>
      </c>
      <c r="R19" s="395">
        <v>70.324785000000006</v>
      </c>
      <c r="S19" s="395">
        <v>68.714894999999999</v>
      </c>
      <c r="T19" s="395">
        <v>67.002489999999995</v>
      </c>
      <c r="U19" s="395">
        <v>65.458894999999998</v>
      </c>
      <c r="V19" s="395">
        <v>63.579844999999999</v>
      </c>
    </row>
    <row r="20" spans="1:36" x14ac:dyDescent="0.25">
      <c r="A20" s="137" t="s">
        <v>1507</v>
      </c>
      <c r="B20" s="8" t="s">
        <v>1507</v>
      </c>
      <c r="C20" s="393" t="s">
        <v>1505</v>
      </c>
      <c r="D20" s="395"/>
      <c r="E20" s="395"/>
      <c r="F20" s="395"/>
      <c r="G20" s="395"/>
      <c r="H20" s="395"/>
      <c r="I20" s="395"/>
      <c r="J20" s="395"/>
      <c r="K20" s="395"/>
      <c r="L20" s="395">
        <v>99.089225976140213</v>
      </c>
      <c r="M20" s="395">
        <v>88.73271299999999</v>
      </c>
      <c r="N20" s="395">
        <v>78.883062499999994</v>
      </c>
      <c r="O20" s="395">
        <v>70.367103</v>
      </c>
      <c r="P20" s="395">
        <v>62.892417000000002</v>
      </c>
      <c r="Q20" s="395">
        <v>56.919478500000011</v>
      </c>
      <c r="R20" s="395">
        <v>51.075700000000005</v>
      </c>
      <c r="S20" s="395">
        <v>46.419594000000004</v>
      </c>
      <c r="T20" s="395">
        <v>42.106890499999999</v>
      </c>
      <c r="U20" s="395">
        <v>37.503877000000003</v>
      </c>
      <c r="V20" s="395">
        <v>31.797483000000003</v>
      </c>
    </row>
    <row r="21" spans="1:36" x14ac:dyDescent="0.25">
      <c r="A21" s="137" t="s">
        <v>1508</v>
      </c>
      <c r="B21" s="8" t="s">
        <v>1508</v>
      </c>
      <c r="C21" s="393" t="s">
        <v>1505</v>
      </c>
      <c r="D21" s="395"/>
      <c r="E21" s="395"/>
      <c r="F21" s="395"/>
      <c r="G21" s="395"/>
      <c r="H21" s="395"/>
      <c r="I21" s="395"/>
      <c r="J21" s="395"/>
      <c r="K21" s="395"/>
      <c r="L21" s="395"/>
      <c r="M21" s="395">
        <v>0.84660100000002458</v>
      </c>
      <c r="N21" s="395">
        <v>1.4490055000000224</v>
      </c>
      <c r="O21" s="395">
        <v>1.9322300000000014</v>
      </c>
      <c r="P21" s="395">
        <v>2.8625609999999968</v>
      </c>
      <c r="Q21" s="395">
        <v>3.2675504999999938</v>
      </c>
      <c r="R21" s="395">
        <v>4.4734269999999965</v>
      </c>
      <c r="S21" s="395">
        <v>5.0069639999999973</v>
      </c>
      <c r="T21" s="395">
        <v>5.4699415000000027</v>
      </c>
      <c r="U21" s="395">
        <v>6.2683769999999974</v>
      </c>
      <c r="V21" s="395">
        <v>8.2252009999999931</v>
      </c>
      <c r="W21" s="16"/>
      <c r="X21" s="16"/>
      <c r="Y21" s="16"/>
      <c r="Z21" s="16"/>
      <c r="AA21" s="16"/>
      <c r="AB21" s="16"/>
      <c r="AC21" s="16"/>
      <c r="AD21" s="16"/>
      <c r="AE21" s="16"/>
      <c r="AF21" s="16"/>
      <c r="AG21" s="16"/>
      <c r="AH21" s="16"/>
      <c r="AI21" s="16"/>
      <c r="AJ21" s="16"/>
    </row>
    <row r="22" spans="1:36" x14ac:dyDescent="0.25">
      <c r="A22" t="s">
        <v>1509</v>
      </c>
      <c r="B22" t="s">
        <v>1509</v>
      </c>
      <c r="C22" s="393" t="s">
        <v>1505</v>
      </c>
      <c r="D22" s="395"/>
      <c r="E22" s="395"/>
      <c r="F22" s="395"/>
      <c r="G22" s="395"/>
      <c r="H22" s="395"/>
      <c r="I22" s="395"/>
      <c r="J22" s="395"/>
      <c r="K22" s="395"/>
      <c r="L22" s="395"/>
      <c r="M22" s="395">
        <v>1.1011419999999772</v>
      </c>
      <c r="N22" s="395">
        <v>1.7859819999999971</v>
      </c>
      <c r="O22" s="395">
        <v>2.6704190000000017</v>
      </c>
      <c r="P22" s="395">
        <v>3.3100800000000152</v>
      </c>
      <c r="Q22" s="395">
        <v>4.1351909999999936</v>
      </c>
      <c r="R22" s="395">
        <v>4.8672689999999967</v>
      </c>
      <c r="S22" s="395">
        <v>5.6472599999999984</v>
      </c>
      <c r="T22" s="395">
        <v>6.8980999999999959</v>
      </c>
      <c r="U22" s="395">
        <v>7.9460340000000018</v>
      </c>
      <c r="V22" s="395">
        <v>8.4369920000000036</v>
      </c>
      <c r="W22" s="16"/>
      <c r="X22" s="16"/>
      <c r="Y22" s="16"/>
      <c r="Z22" s="16"/>
      <c r="AA22" s="16"/>
      <c r="AB22" s="16"/>
      <c r="AC22" s="16"/>
      <c r="AD22" s="16"/>
      <c r="AE22" s="16"/>
      <c r="AF22" s="16"/>
      <c r="AG22" s="16"/>
      <c r="AH22" s="16"/>
      <c r="AI22" s="16"/>
      <c r="AJ22" s="16"/>
    </row>
    <row r="23" spans="1:36" x14ac:dyDescent="0.25">
      <c r="A23" t="s">
        <v>1510</v>
      </c>
      <c r="B23" s="8" t="s">
        <v>1510</v>
      </c>
      <c r="C23" s="393" t="s">
        <v>1505</v>
      </c>
      <c r="D23" s="395"/>
      <c r="E23" s="395"/>
      <c r="F23" s="395"/>
      <c r="G23" s="395"/>
      <c r="H23" s="395"/>
      <c r="I23" s="395"/>
      <c r="J23" s="395"/>
      <c r="K23" s="395"/>
      <c r="L23" s="395"/>
      <c r="M23" s="395">
        <v>1.4652240000000094</v>
      </c>
      <c r="N23" s="395">
        <v>2.421941999999988</v>
      </c>
      <c r="O23" s="395">
        <v>3.5137619999999981</v>
      </c>
      <c r="P23" s="395">
        <v>4.6967339999999913</v>
      </c>
      <c r="Q23" s="395">
        <v>5.8984559999999959</v>
      </c>
      <c r="R23" s="395">
        <v>6.9633740000000106</v>
      </c>
      <c r="S23" s="395">
        <v>8.2620880000000003</v>
      </c>
      <c r="T23" s="395">
        <v>8.757868000000002</v>
      </c>
      <c r="U23" s="395">
        <v>9.5898519999999987</v>
      </c>
      <c r="V23" s="395">
        <v>10.529711999999996</v>
      </c>
      <c r="W23" s="16"/>
      <c r="X23" s="16"/>
      <c r="Y23" s="16"/>
      <c r="Z23" s="16"/>
      <c r="AA23" s="16"/>
      <c r="AB23" s="16"/>
      <c r="AC23" s="16"/>
      <c r="AD23" s="16"/>
      <c r="AE23" s="16"/>
      <c r="AF23" s="16"/>
      <c r="AG23" s="16"/>
      <c r="AH23" s="16"/>
      <c r="AI23" s="16"/>
      <c r="AJ23" s="16"/>
    </row>
    <row r="24" spans="1:36" x14ac:dyDescent="0.25">
      <c r="A24" t="s">
        <v>1511</v>
      </c>
      <c r="B24" s="8" t="s">
        <v>1511</v>
      </c>
      <c r="C24" s="393" t="s">
        <v>1505</v>
      </c>
      <c r="D24" s="395"/>
      <c r="E24" s="395"/>
      <c r="F24" s="395"/>
      <c r="G24" s="395"/>
      <c r="H24" s="395"/>
      <c r="I24" s="395"/>
      <c r="J24" s="395"/>
      <c r="K24" s="395"/>
      <c r="L24" s="395"/>
      <c r="M24" s="395">
        <v>1.2506999999999935</v>
      </c>
      <c r="N24" s="395">
        <v>2.1894320000000023</v>
      </c>
      <c r="O24" s="395">
        <v>3.0482080000000078</v>
      </c>
      <c r="P24" s="395">
        <v>4.008827999999987</v>
      </c>
      <c r="Q24" s="395">
        <v>4.9205660000000151</v>
      </c>
      <c r="R24" s="395">
        <v>5.9591839999999952</v>
      </c>
      <c r="S24" s="395">
        <v>6.4733820000000053</v>
      </c>
      <c r="T24" s="395">
        <v>7.5208080000000006</v>
      </c>
      <c r="U24" s="395">
        <v>8.2482740000000003</v>
      </c>
      <c r="V24" s="395">
        <v>9.1489440000000037</v>
      </c>
      <c r="W24" s="16"/>
      <c r="X24" s="16"/>
      <c r="Y24" s="16"/>
      <c r="Z24" s="16"/>
      <c r="AA24" s="16"/>
      <c r="AB24" s="16"/>
      <c r="AC24" s="16"/>
      <c r="AD24" s="16"/>
      <c r="AE24" s="16"/>
      <c r="AF24" s="16"/>
      <c r="AG24" s="16"/>
      <c r="AH24" s="16"/>
      <c r="AI24" s="16"/>
      <c r="AJ24" s="16"/>
    </row>
    <row r="25" spans="1:36" x14ac:dyDescent="0.25">
      <c r="A25" t="s">
        <v>1512</v>
      </c>
      <c r="B25" s="8" t="s">
        <v>1512</v>
      </c>
      <c r="C25" s="393" t="s">
        <v>1505</v>
      </c>
      <c r="D25" s="395"/>
      <c r="E25" s="395"/>
      <c r="F25" s="395"/>
      <c r="G25" s="395"/>
      <c r="H25" s="395"/>
      <c r="I25" s="395"/>
      <c r="J25" s="395"/>
      <c r="K25" s="395"/>
      <c r="L25" s="395"/>
      <c r="M25" s="395">
        <v>1.4031840000000018</v>
      </c>
      <c r="N25" s="395">
        <v>2.5322379999999978</v>
      </c>
      <c r="O25" s="395">
        <v>3.7828560000000011</v>
      </c>
      <c r="P25" s="395">
        <v>4.9033440000000095</v>
      </c>
      <c r="Q25" s="395">
        <v>5.7713799999999926</v>
      </c>
      <c r="R25" s="395">
        <v>6.612892000000004</v>
      </c>
      <c r="S25" s="395">
        <v>7.9285899999999909</v>
      </c>
      <c r="T25" s="395">
        <v>9.1001199999999898</v>
      </c>
      <c r="U25" s="395">
        <v>10.520490000000004</v>
      </c>
      <c r="V25" s="395">
        <v>11.853352000000006</v>
      </c>
      <c r="W25" s="16"/>
      <c r="X25" s="16"/>
      <c r="Y25" s="16"/>
      <c r="Z25" s="16"/>
      <c r="AA25" s="16"/>
      <c r="AB25" s="16"/>
      <c r="AC25" s="16"/>
      <c r="AD25" s="16"/>
      <c r="AE25" s="16"/>
      <c r="AF25" s="16"/>
      <c r="AG25" s="16"/>
      <c r="AH25" s="16"/>
      <c r="AI25" s="16"/>
      <c r="AJ25" s="16"/>
    </row>
    <row r="26" spans="1:36" x14ac:dyDescent="0.25">
      <c r="A26" t="s">
        <v>1513</v>
      </c>
      <c r="B26" s="8" t="s">
        <v>1513</v>
      </c>
      <c r="C26" s="393" t="s">
        <v>1505</v>
      </c>
      <c r="D26" s="395"/>
      <c r="E26" s="395"/>
      <c r="F26" s="395"/>
      <c r="G26" s="395"/>
      <c r="H26" s="395"/>
      <c r="I26" s="395"/>
      <c r="J26" s="395"/>
      <c r="K26" s="395"/>
      <c r="L26" s="395"/>
      <c r="M26" s="395">
        <v>1.1849620000000116</v>
      </c>
      <c r="N26" s="395">
        <v>1.9384560000000106</v>
      </c>
      <c r="O26" s="395">
        <v>2.8339449999999933</v>
      </c>
      <c r="P26" s="395">
        <v>3.5733640000000011</v>
      </c>
      <c r="Q26" s="395">
        <v>4.8315459999999977</v>
      </c>
      <c r="R26" s="395">
        <v>5.7448600000000072</v>
      </c>
      <c r="S26" s="395">
        <v>6.7636920000000096</v>
      </c>
      <c r="T26" s="395">
        <v>7.6746700000000168</v>
      </c>
      <c r="U26" s="395">
        <v>8.7893570000000096</v>
      </c>
      <c r="V26" s="395">
        <v>10.422788999999998</v>
      </c>
      <c r="W26" s="16"/>
      <c r="X26" s="16"/>
      <c r="Y26" s="16"/>
      <c r="Z26" s="16"/>
      <c r="AA26" s="16"/>
      <c r="AB26" s="16"/>
      <c r="AC26" s="16"/>
      <c r="AD26" s="16"/>
      <c r="AE26" s="16"/>
      <c r="AF26" s="16"/>
      <c r="AG26" s="16"/>
      <c r="AH26" s="16"/>
      <c r="AI26" s="16"/>
      <c r="AJ26" s="16"/>
    </row>
    <row r="27" spans="1:36" x14ac:dyDescent="0.25">
      <c r="A27" t="s">
        <v>1514</v>
      </c>
      <c r="B27" s="8" t="s">
        <v>1514</v>
      </c>
      <c r="C27" s="393" t="s">
        <v>1505</v>
      </c>
      <c r="D27" s="395"/>
      <c r="E27" s="395"/>
      <c r="F27" s="395"/>
      <c r="G27" s="395"/>
      <c r="H27" s="395"/>
      <c r="I27" s="395"/>
      <c r="J27" s="395"/>
      <c r="K27" s="395"/>
      <c r="L27" s="395"/>
      <c r="M27" s="395">
        <v>1.0079089999999957</v>
      </c>
      <c r="N27" s="395">
        <v>1.7838039999999999</v>
      </c>
      <c r="O27" s="395">
        <v>2.2713970000000083</v>
      </c>
      <c r="P27" s="395">
        <v>3.201618500000003</v>
      </c>
      <c r="Q27" s="395">
        <v>3.8319305000000026</v>
      </c>
      <c r="R27" s="395">
        <v>4.4158965000000272</v>
      </c>
      <c r="S27" s="395">
        <v>5.9444865000000018</v>
      </c>
      <c r="T27" s="395">
        <v>7.080476999999985</v>
      </c>
      <c r="U27" s="395">
        <v>8.5488430000000051</v>
      </c>
      <c r="V27" s="395">
        <v>10.588262000000004</v>
      </c>
    </row>
    <row r="28" spans="1:36" x14ac:dyDescent="0.25">
      <c r="C28" s="28"/>
      <c r="D28" s="16"/>
      <c r="E28" s="16"/>
      <c r="F28" s="16"/>
      <c r="G28" s="16"/>
      <c r="H28" s="16"/>
      <c r="I28" s="16"/>
      <c r="J28" s="16"/>
      <c r="K28" s="16"/>
      <c r="L28" s="16"/>
      <c r="M28" s="16"/>
      <c r="N28" s="16"/>
      <c r="O28" s="16"/>
      <c r="P28" s="16"/>
      <c r="Q28" s="16"/>
      <c r="R28" s="16"/>
      <c r="S28" s="16"/>
      <c r="T28" s="16"/>
      <c r="U28" s="16"/>
      <c r="V28" s="16"/>
    </row>
    <row r="29" spans="1:36" x14ac:dyDescent="0.25">
      <c r="C29" s="28"/>
    </row>
    <row r="30" spans="1:36" ht="85.35" customHeight="1" x14ac:dyDescent="0.25">
      <c r="A30" s="446" t="s">
        <v>1516</v>
      </c>
      <c r="B30" s="446"/>
      <c r="C30" s="446"/>
      <c r="D30" s="446"/>
      <c r="E30" s="446"/>
      <c r="F30" s="446"/>
      <c r="G30" s="446"/>
      <c r="H30" s="446"/>
      <c r="I30" s="446"/>
      <c r="J30" s="446"/>
      <c r="K30" s="446"/>
      <c r="L30" s="446"/>
      <c r="M30" s="446"/>
      <c r="N30" s="446"/>
      <c r="O30" s="446"/>
      <c r="P30" s="446"/>
      <c r="Q30" s="446"/>
      <c r="R30" s="446"/>
      <c r="S30" s="446"/>
      <c r="T30" s="446"/>
      <c r="U30" s="446"/>
      <c r="V30" s="446"/>
    </row>
    <row r="31" spans="1:36" ht="64.349999999999994" customHeight="1" x14ac:dyDescent="0.25">
      <c r="A31" s="444" t="s">
        <v>1526</v>
      </c>
      <c r="B31" s="444"/>
      <c r="C31" s="444"/>
      <c r="D31" s="444"/>
      <c r="E31" s="444"/>
      <c r="F31" s="444"/>
      <c r="G31" s="444"/>
      <c r="H31" s="444"/>
      <c r="I31" s="444"/>
      <c r="J31" s="444"/>
      <c r="K31" s="444"/>
      <c r="L31" s="444"/>
      <c r="M31" s="444"/>
      <c r="N31" s="444"/>
      <c r="O31" s="444"/>
      <c r="P31" s="444"/>
      <c r="Q31" s="444"/>
      <c r="R31" s="444"/>
      <c r="S31" s="444"/>
      <c r="T31" s="444"/>
      <c r="U31" s="444"/>
      <c r="V31" s="444"/>
    </row>
  </sheetData>
  <mergeCells count="2">
    <mergeCell ref="A30:V30"/>
    <mergeCell ref="A31:V31"/>
  </mergeCells>
  <hyperlinks>
    <hyperlink ref="A4" location="Índice!A1" display="Índice" xr:uid="{15375FE3-3B54-4D55-8D53-0D968A0E441E}"/>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0C7C-480E-4EBB-8646-50C908B52640}">
  <sheetPr codeName="Sheet54">
    <tabColor theme="0" tint="-4.9989318521683403E-2"/>
  </sheetPr>
  <dimension ref="A4:F283"/>
  <sheetViews>
    <sheetView showGridLines="0" zoomScaleNormal="100" workbookViewId="0">
      <selection activeCell="A12" sqref="A12"/>
    </sheetView>
  </sheetViews>
  <sheetFormatPr defaultRowHeight="15" x14ac:dyDescent="0.25"/>
  <cols>
    <col min="1" max="6" width="20.85546875" customWidth="1"/>
    <col min="7" max="7" width="5.42578125" bestFit="1" customWidth="1"/>
    <col min="8" max="17" width="5" bestFit="1" customWidth="1"/>
  </cols>
  <sheetData>
    <row r="4" spans="1:6" x14ac:dyDescent="0.25">
      <c r="A4" s="39" t="s">
        <v>3</v>
      </c>
    </row>
    <row r="5" spans="1:6" ht="18.75" x14ac:dyDescent="0.25">
      <c r="A5" s="6" t="s">
        <v>180</v>
      </c>
    </row>
    <row r="6" spans="1:6" x14ac:dyDescent="0.25">
      <c r="A6" s="78" t="str">
        <f>+Índice!A84</f>
        <v>Caixa 7 - Trajetórias para a dívida pública portuguesa/Box 7 - Trajectories for Portuguese public debt</v>
      </c>
    </row>
    <row r="7" spans="1:6" ht="18.75" x14ac:dyDescent="0.25">
      <c r="A7" s="6"/>
    </row>
    <row r="8" spans="1:6" ht="18.75" x14ac:dyDescent="0.25">
      <c r="A8" s="6"/>
    </row>
    <row r="9" spans="1:6" x14ac:dyDescent="0.25">
      <c r="A9" s="7"/>
    </row>
    <row r="10" spans="1:6" x14ac:dyDescent="0.25">
      <c r="A10" s="41" t="s">
        <v>1602</v>
      </c>
    </row>
    <row r="11" spans="1:6" x14ac:dyDescent="0.25">
      <c r="A11" s="41" t="s">
        <v>1603</v>
      </c>
    </row>
    <row r="13" spans="1:6" x14ac:dyDescent="0.25">
      <c r="A13" s="42" t="s">
        <v>44</v>
      </c>
      <c r="B13" s="317" t="s">
        <v>1200</v>
      </c>
      <c r="C13" s="317" t="s">
        <v>4</v>
      </c>
      <c r="D13" s="317" t="s">
        <v>4</v>
      </c>
      <c r="E13" s="317" t="s">
        <v>4</v>
      </c>
      <c r="F13" s="317" t="s">
        <v>4</v>
      </c>
    </row>
    <row r="14" spans="1:6" x14ac:dyDescent="0.25">
      <c r="B14" s="318" t="s">
        <v>1210</v>
      </c>
      <c r="C14" s="318" t="s">
        <v>4</v>
      </c>
      <c r="D14" s="318" t="s">
        <v>4</v>
      </c>
      <c r="E14" s="318" t="s">
        <v>4</v>
      </c>
      <c r="F14" s="318" t="s">
        <v>4</v>
      </c>
    </row>
    <row r="15" spans="1:6" x14ac:dyDescent="0.25">
      <c r="B15" s="318"/>
      <c r="C15" s="318"/>
      <c r="D15" s="318"/>
      <c r="E15" s="318"/>
      <c r="F15" s="318"/>
    </row>
    <row r="16" spans="1:6" ht="50.1" customHeight="1" x14ac:dyDescent="0.25">
      <c r="B16" s="397" t="s">
        <v>1520</v>
      </c>
      <c r="C16" s="397" t="s">
        <v>1517</v>
      </c>
      <c r="D16" s="397" t="s">
        <v>1491</v>
      </c>
      <c r="E16" s="397" t="s">
        <v>1518</v>
      </c>
      <c r="F16" s="397" t="s">
        <v>1519</v>
      </c>
    </row>
    <row r="17" spans="2:6" ht="50.1" customHeight="1" x14ac:dyDescent="0.25">
      <c r="B17" s="398" t="s">
        <v>1521</v>
      </c>
      <c r="C17" s="398" t="s">
        <v>1522</v>
      </c>
      <c r="D17" s="398" t="s">
        <v>1490</v>
      </c>
      <c r="E17" s="398" t="s">
        <v>1523</v>
      </c>
      <c r="F17" s="398" t="s">
        <v>1524</v>
      </c>
    </row>
    <row r="18" spans="2:6" x14ac:dyDescent="0.25">
      <c r="B18" s="396"/>
      <c r="C18" s="396"/>
      <c r="D18" s="396"/>
      <c r="E18" s="396"/>
      <c r="F18" s="396"/>
    </row>
    <row r="19" spans="2:6" x14ac:dyDescent="0.25">
      <c r="B19" s="399">
        <v>10</v>
      </c>
      <c r="C19" s="399">
        <v>99.9</v>
      </c>
      <c r="D19" s="399"/>
      <c r="E19" s="399"/>
      <c r="F19" s="399"/>
    </row>
    <row r="20" spans="2:6" x14ac:dyDescent="0.25">
      <c r="B20" s="399">
        <v>10.5</v>
      </c>
      <c r="C20" s="399">
        <v>99.8</v>
      </c>
      <c r="D20" s="399"/>
      <c r="E20" s="399"/>
      <c r="F20" s="399"/>
    </row>
    <row r="21" spans="2:6" x14ac:dyDescent="0.25">
      <c r="B21" s="399">
        <v>11</v>
      </c>
      <c r="C21" s="399">
        <v>99.8</v>
      </c>
      <c r="D21" s="399"/>
      <c r="E21" s="399"/>
      <c r="F21" s="399"/>
    </row>
    <row r="22" spans="2:6" x14ac:dyDescent="0.25">
      <c r="B22" s="399">
        <v>11.5</v>
      </c>
      <c r="C22" s="399">
        <v>99.8</v>
      </c>
      <c r="D22" s="399"/>
      <c r="E22" s="399"/>
      <c r="F22" s="399"/>
    </row>
    <row r="23" spans="2:6" x14ac:dyDescent="0.25">
      <c r="B23" s="399">
        <v>12</v>
      </c>
      <c r="C23" s="399">
        <v>99.8</v>
      </c>
      <c r="D23" s="399"/>
      <c r="E23" s="399"/>
      <c r="F23" s="399"/>
    </row>
    <row r="24" spans="2:6" x14ac:dyDescent="0.25">
      <c r="B24" s="399">
        <v>12.5</v>
      </c>
      <c r="C24" s="399">
        <v>99.7</v>
      </c>
      <c r="D24" s="399"/>
      <c r="E24" s="399"/>
      <c r="F24" s="399"/>
    </row>
    <row r="25" spans="2:6" x14ac:dyDescent="0.25">
      <c r="B25" s="399">
        <v>13</v>
      </c>
      <c r="C25" s="399">
        <v>99.7</v>
      </c>
      <c r="D25" s="399"/>
      <c r="E25" s="399"/>
      <c r="F25" s="399"/>
    </row>
    <row r="26" spans="2:6" x14ac:dyDescent="0.25">
      <c r="B26" s="399">
        <v>13.5</v>
      </c>
      <c r="C26" s="399">
        <v>99.7</v>
      </c>
      <c r="D26" s="399"/>
      <c r="E26" s="399"/>
      <c r="F26" s="399"/>
    </row>
    <row r="27" spans="2:6" x14ac:dyDescent="0.25">
      <c r="B27" s="399">
        <v>14</v>
      </c>
      <c r="C27" s="399">
        <v>99.6</v>
      </c>
      <c r="D27" s="399"/>
      <c r="E27" s="399"/>
      <c r="F27" s="399"/>
    </row>
    <row r="28" spans="2:6" x14ac:dyDescent="0.25">
      <c r="B28" s="399">
        <v>14.5</v>
      </c>
      <c r="C28" s="399">
        <v>99.6</v>
      </c>
      <c r="D28" s="399"/>
      <c r="E28" s="399"/>
      <c r="F28" s="399"/>
    </row>
    <row r="29" spans="2:6" x14ac:dyDescent="0.25">
      <c r="B29" s="399">
        <v>15</v>
      </c>
      <c r="C29" s="399">
        <v>99.5</v>
      </c>
      <c r="D29" s="399"/>
      <c r="E29" s="399"/>
      <c r="F29" s="399"/>
    </row>
    <row r="30" spans="2:6" x14ac:dyDescent="0.25">
      <c r="B30" s="399">
        <v>15.5</v>
      </c>
      <c r="C30" s="399">
        <v>99.4</v>
      </c>
      <c r="D30" s="399"/>
      <c r="E30" s="399"/>
      <c r="F30" s="399"/>
    </row>
    <row r="31" spans="2:6" x14ac:dyDescent="0.25">
      <c r="B31" s="399">
        <v>16</v>
      </c>
      <c r="C31" s="399">
        <v>99.4</v>
      </c>
      <c r="D31" s="399"/>
      <c r="E31" s="399"/>
      <c r="F31" s="399"/>
    </row>
    <row r="32" spans="2:6" x14ac:dyDescent="0.25">
      <c r="B32" s="399">
        <v>16.5</v>
      </c>
      <c r="C32" s="399">
        <v>99.3</v>
      </c>
      <c r="D32" s="399"/>
      <c r="E32" s="399"/>
      <c r="F32" s="399"/>
    </row>
    <row r="33" spans="2:6" x14ac:dyDescent="0.25">
      <c r="B33" s="399">
        <v>17</v>
      </c>
      <c r="C33" s="399">
        <v>99.3</v>
      </c>
      <c r="D33" s="399"/>
      <c r="E33" s="399"/>
      <c r="F33" s="399"/>
    </row>
    <row r="34" spans="2:6" x14ac:dyDescent="0.25">
      <c r="B34" s="399">
        <v>17.5</v>
      </c>
      <c r="C34" s="399">
        <v>99.1</v>
      </c>
      <c r="D34" s="399"/>
      <c r="E34" s="399"/>
      <c r="F34" s="399"/>
    </row>
    <row r="35" spans="2:6" x14ac:dyDescent="0.25">
      <c r="B35" s="399">
        <v>18</v>
      </c>
      <c r="C35" s="399">
        <v>99.1</v>
      </c>
      <c r="D35" s="399"/>
      <c r="E35" s="399"/>
      <c r="F35" s="399"/>
    </row>
    <row r="36" spans="2:6" x14ac:dyDescent="0.25">
      <c r="B36" s="399">
        <v>18.5</v>
      </c>
      <c r="C36" s="399">
        <v>99.1</v>
      </c>
      <c r="D36" s="399"/>
      <c r="E36" s="399"/>
      <c r="F36" s="399"/>
    </row>
    <row r="37" spans="2:6" x14ac:dyDescent="0.25">
      <c r="B37" s="399">
        <v>19</v>
      </c>
      <c r="C37" s="399">
        <v>99</v>
      </c>
      <c r="D37" s="399"/>
      <c r="E37" s="399"/>
      <c r="F37" s="399"/>
    </row>
    <row r="38" spans="2:6" x14ac:dyDescent="0.25">
      <c r="B38" s="399">
        <v>19.5</v>
      </c>
      <c r="C38" s="399">
        <v>98.9</v>
      </c>
      <c r="D38" s="399"/>
      <c r="E38" s="399"/>
      <c r="F38" s="399"/>
    </row>
    <row r="39" spans="2:6" x14ac:dyDescent="0.25">
      <c r="B39" s="399">
        <v>20</v>
      </c>
      <c r="C39" s="399">
        <v>98.9</v>
      </c>
      <c r="D39" s="399"/>
      <c r="E39" s="399"/>
      <c r="F39" s="399"/>
    </row>
    <row r="40" spans="2:6" x14ac:dyDescent="0.25">
      <c r="B40" s="399">
        <v>20.5</v>
      </c>
      <c r="C40" s="399">
        <v>98.8</v>
      </c>
      <c r="D40" s="399"/>
      <c r="E40" s="399"/>
      <c r="F40" s="399"/>
    </row>
    <row r="41" spans="2:6" x14ac:dyDescent="0.25">
      <c r="B41" s="399">
        <v>21</v>
      </c>
      <c r="C41" s="399">
        <v>98.8</v>
      </c>
      <c r="D41" s="399"/>
      <c r="E41" s="399"/>
      <c r="F41" s="399"/>
    </row>
    <row r="42" spans="2:6" x14ac:dyDescent="0.25">
      <c r="B42" s="399">
        <v>21.5</v>
      </c>
      <c r="C42" s="399">
        <v>98.7</v>
      </c>
      <c r="D42" s="399"/>
      <c r="E42" s="399"/>
      <c r="F42" s="399"/>
    </row>
    <row r="43" spans="2:6" x14ac:dyDescent="0.25">
      <c r="B43" s="399">
        <v>22</v>
      </c>
      <c r="C43" s="399">
        <v>98.6</v>
      </c>
      <c r="D43" s="399"/>
      <c r="E43" s="399"/>
      <c r="F43" s="399"/>
    </row>
    <row r="44" spans="2:6" x14ac:dyDescent="0.25">
      <c r="B44" s="399">
        <v>22.5</v>
      </c>
      <c r="C44" s="399">
        <v>98.4</v>
      </c>
      <c r="D44" s="399"/>
      <c r="E44" s="399"/>
      <c r="F44" s="399"/>
    </row>
    <row r="45" spans="2:6" x14ac:dyDescent="0.25">
      <c r="B45" s="399">
        <v>23</v>
      </c>
      <c r="C45" s="399">
        <v>98.3</v>
      </c>
      <c r="D45" s="399"/>
      <c r="E45" s="399"/>
      <c r="F45" s="399"/>
    </row>
    <row r="46" spans="2:6" x14ac:dyDescent="0.25">
      <c r="B46" s="399">
        <v>23.5</v>
      </c>
      <c r="C46" s="399">
        <v>98.2</v>
      </c>
      <c r="D46" s="399"/>
      <c r="E46" s="399"/>
      <c r="F46" s="399"/>
    </row>
    <row r="47" spans="2:6" x14ac:dyDescent="0.25">
      <c r="B47" s="399">
        <v>24</v>
      </c>
      <c r="C47" s="399">
        <v>98.1</v>
      </c>
      <c r="D47" s="399"/>
      <c r="E47" s="399"/>
      <c r="F47" s="399"/>
    </row>
    <row r="48" spans="2:6" x14ac:dyDescent="0.25">
      <c r="B48" s="399">
        <v>24.5</v>
      </c>
      <c r="C48" s="399">
        <v>98</v>
      </c>
      <c r="D48" s="399"/>
      <c r="E48" s="399"/>
      <c r="F48" s="399"/>
    </row>
    <row r="49" spans="2:6" x14ac:dyDescent="0.25">
      <c r="B49" s="399">
        <v>25</v>
      </c>
      <c r="C49" s="399">
        <v>97.8</v>
      </c>
      <c r="D49" s="399"/>
      <c r="E49" s="399"/>
      <c r="F49" s="399"/>
    </row>
    <row r="50" spans="2:6" x14ac:dyDescent="0.25">
      <c r="B50" s="399">
        <v>25.5</v>
      </c>
      <c r="C50" s="399">
        <v>97.5</v>
      </c>
      <c r="D50" s="399"/>
      <c r="E50" s="399"/>
      <c r="F50" s="399"/>
    </row>
    <row r="51" spans="2:6" x14ac:dyDescent="0.25">
      <c r="B51" s="399">
        <v>26</v>
      </c>
      <c r="C51" s="399">
        <v>97.3</v>
      </c>
      <c r="D51" s="399"/>
      <c r="E51" s="399"/>
      <c r="F51" s="399"/>
    </row>
    <row r="52" spans="2:6" x14ac:dyDescent="0.25">
      <c r="B52" s="399">
        <v>26.5</v>
      </c>
      <c r="C52" s="399">
        <v>97</v>
      </c>
      <c r="D52" s="399"/>
      <c r="E52" s="399"/>
      <c r="F52" s="399"/>
    </row>
    <row r="53" spans="2:6" x14ac:dyDescent="0.25">
      <c r="B53" s="399">
        <v>27</v>
      </c>
      <c r="C53" s="399">
        <v>96.899999999999991</v>
      </c>
      <c r="D53" s="399"/>
      <c r="E53" s="399"/>
      <c r="F53" s="399"/>
    </row>
    <row r="54" spans="2:6" x14ac:dyDescent="0.25">
      <c r="B54" s="399">
        <v>27.5</v>
      </c>
      <c r="C54" s="399">
        <v>96.7</v>
      </c>
      <c r="D54" s="399"/>
      <c r="E54" s="399"/>
      <c r="F54" s="399"/>
    </row>
    <row r="55" spans="2:6" x14ac:dyDescent="0.25">
      <c r="B55" s="399">
        <v>28</v>
      </c>
      <c r="C55" s="399">
        <v>96.5</v>
      </c>
      <c r="D55" s="399"/>
      <c r="E55" s="399"/>
      <c r="F55" s="399"/>
    </row>
    <row r="56" spans="2:6" x14ac:dyDescent="0.25">
      <c r="B56" s="399">
        <v>28.5</v>
      </c>
      <c r="C56" s="399">
        <v>96.399999999999991</v>
      </c>
      <c r="D56" s="399"/>
      <c r="E56" s="399"/>
      <c r="F56" s="399"/>
    </row>
    <row r="57" spans="2:6" x14ac:dyDescent="0.25">
      <c r="B57" s="399">
        <v>29</v>
      </c>
      <c r="C57" s="399">
        <v>96.1</v>
      </c>
      <c r="D57" s="399"/>
      <c r="E57" s="399"/>
      <c r="F57" s="399"/>
    </row>
    <row r="58" spans="2:6" x14ac:dyDescent="0.25">
      <c r="B58" s="399">
        <v>29.5</v>
      </c>
      <c r="C58" s="399">
        <v>96</v>
      </c>
      <c r="D58" s="399"/>
      <c r="E58" s="399"/>
      <c r="F58" s="399"/>
    </row>
    <row r="59" spans="2:6" x14ac:dyDescent="0.25">
      <c r="B59" s="399">
        <v>30</v>
      </c>
      <c r="C59" s="399">
        <v>95.7</v>
      </c>
      <c r="D59" s="399"/>
      <c r="E59" s="399"/>
      <c r="F59" s="399"/>
    </row>
    <row r="60" spans="2:6" x14ac:dyDescent="0.25">
      <c r="B60" s="399">
        <v>30.5</v>
      </c>
      <c r="C60" s="399">
        <v>95.5</v>
      </c>
      <c r="D60" s="399"/>
      <c r="E60" s="399"/>
      <c r="F60" s="399"/>
    </row>
    <row r="61" spans="2:6" x14ac:dyDescent="0.25">
      <c r="B61" s="399">
        <v>31</v>
      </c>
      <c r="C61" s="399">
        <v>95.3</v>
      </c>
      <c r="D61" s="399"/>
      <c r="E61" s="399"/>
      <c r="F61" s="399"/>
    </row>
    <row r="62" spans="2:6" x14ac:dyDescent="0.25">
      <c r="B62" s="399">
        <v>31.5</v>
      </c>
      <c r="C62" s="399">
        <v>95.199999999999989</v>
      </c>
      <c r="D62" s="399"/>
      <c r="E62" s="399"/>
      <c r="F62" s="399"/>
    </row>
    <row r="63" spans="2:6" x14ac:dyDescent="0.25">
      <c r="B63" s="399">
        <v>32</v>
      </c>
      <c r="C63" s="399">
        <v>95</v>
      </c>
      <c r="D63" s="399"/>
      <c r="E63" s="399"/>
      <c r="F63" s="399"/>
    </row>
    <row r="64" spans="2:6" x14ac:dyDescent="0.25">
      <c r="B64" s="399">
        <v>32.5</v>
      </c>
      <c r="C64" s="399">
        <v>94.699999999999989</v>
      </c>
      <c r="D64" s="399"/>
      <c r="E64" s="399"/>
      <c r="F64" s="399"/>
    </row>
    <row r="65" spans="2:6" x14ac:dyDescent="0.25">
      <c r="B65" s="399">
        <v>33</v>
      </c>
      <c r="C65" s="399">
        <v>94.5</v>
      </c>
      <c r="D65" s="399"/>
      <c r="E65" s="399"/>
      <c r="F65" s="399"/>
    </row>
    <row r="66" spans="2:6" x14ac:dyDescent="0.25">
      <c r="B66" s="399">
        <v>33.5</v>
      </c>
      <c r="C66" s="399">
        <v>94.199999999999989</v>
      </c>
      <c r="D66" s="399"/>
      <c r="E66" s="399"/>
      <c r="F66" s="399"/>
    </row>
    <row r="67" spans="2:6" x14ac:dyDescent="0.25">
      <c r="B67" s="399">
        <v>34</v>
      </c>
      <c r="C67" s="399">
        <v>93.9</v>
      </c>
      <c r="D67" s="399"/>
      <c r="E67" s="399"/>
      <c r="F67" s="399"/>
    </row>
    <row r="68" spans="2:6" x14ac:dyDescent="0.25">
      <c r="B68" s="399">
        <v>34.5</v>
      </c>
      <c r="C68" s="399">
        <v>93.6</v>
      </c>
      <c r="D68" s="399"/>
      <c r="E68" s="399"/>
      <c r="F68" s="399"/>
    </row>
    <row r="69" spans="2:6" x14ac:dyDescent="0.25">
      <c r="B69" s="399">
        <v>35</v>
      </c>
      <c r="C69" s="399">
        <v>93.300000000000011</v>
      </c>
      <c r="D69" s="399"/>
      <c r="E69" s="399"/>
      <c r="F69" s="399"/>
    </row>
    <row r="70" spans="2:6" x14ac:dyDescent="0.25">
      <c r="B70" s="399">
        <v>35.5</v>
      </c>
      <c r="C70" s="399">
        <v>93</v>
      </c>
      <c r="D70" s="399"/>
      <c r="E70" s="399"/>
      <c r="F70" s="399"/>
    </row>
    <row r="71" spans="2:6" x14ac:dyDescent="0.25">
      <c r="B71" s="399">
        <v>36</v>
      </c>
      <c r="C71" s="399">
        <v>92.800000000000011</v>
      </c>
      <c r="D71" s="399"/>
      <c r="E71" s="399"/>
      <c r="F71" s="399"/>
    </row>
    <row r="72" spans="2:6" x14ac:dyDescent="0.25">
      <c r="B72" s="399">
        <v>36.5</v>
      </c>
      <c r="C72" s="399">
        <v>92.600000000000009</v>
      </c>
      <c r="D72" s="399"/>
      <c r="E72" s="399"/>
      <c r="F72" s="399"/>
    </row>
    <row r="73" spans="2:6" x14ac:dyDescent="0.25">
      <c r="B73" s="399">
        <v>37</v>
      </c>
      <c r="C73" s="399">
        <v>92.300000000000011</v>
      </c>
      <c r="D73" s="399"/>
      <c r="E73" s="399"/>
      <c r="F73" s="399"/>
    </row>
    <row r="74" spans="2:6" x14ac:dyDescent="0.25">
      <c r="B74" s="399">
        <v>37.5</v>
      </c>
      <c r="C74" s="399">
        <v>91.9</v>
      </c>
      <c r="D74" s="399"/>
      <c r="E74" s="399"/>
      <c r="F74" s="399"/>
    </row>
    <row r="75" spans="2:6" x14ac:dyDescent="0.25">
      <c r="B75" s="399">
        <v>38</v>
      </c>
      <c r="C75" s="399">
        <v>91.600000000000009</v>
      </c>
      <c r="D75" s="399"/>
      <c r="E75" s="399"/>
      <c r="F75" s="399"/>
    </row>
    <row r="76" spans="2:6" x14ac:dyDescent="0.25">
      <c r="B76" s="399">
        <v>38.5</v>
      </c>
      <c r="C76" s="399">
        <v>91.2</v>
      </c>
      <c r="D76" s="399"/>
      <c r="E76" s="399"/>
      <c r="F76" s="399"/>
    </row>
    <row r="77" spans="2:6" x14ac:dyDescent="0.25">
      <c r="B77" s="399">
        <v>39</v>
      </c>
      <c r="C77" s="399">
        <v>90.8</v>
      </c>
      <c r="D77" s="399"/>
      <c r="E77" s="399"/>
      <c r="F77" s="399"/>
    </row>
    <row r="78" spans="2:6" x14ac:dyDescent="0.25">
      <c r="B78" s="399">
        <v>39.5</v>
      </c>
      <c r="C78" s="399">
        <v>90.5</v>
      </c>
      <c r="D78" s="399"/>
      <c r="E78" s="399"/>
      <c r="F78" s="399"/>
    </row>
    <row r="79" spans="2:6" x14ac:dyDescent="0.25">
      <c r="B79" s="399">
        <v>40</v>
      </c>
      <c r="C79" s="399">
        <v>90.100000000000009</v>
      </c>
      <c r="D79" s="399"/>
      <c r="E79" s="399"/>
      <c r="F79" s="399"/>
    </row>
    <row r="80" spans="2:6" x14ac:dyDescent="0.25">
      <c r="B80" s="399">
        <v>40.5</v>
      </c>
      <c r="C80" s="399">
        <v>89.5</v>
      </c>
      <c r="D80" s="399"/>
      <c r="E80" s="399"/>
      <c r="F80" s="399"/>
    </row>
    <row r="81" spans="2:6" x14ac:dyDescent="0.25">
      <c r="B81" s="399">
        <v>41</v>
      </c>
      <c r="C81" s="399">
        <v>89</v>
      </c>
      <c r="D81" s="399"/>
      <c r="E81" s="399"/>
      <c r="F81" s="399"/>
    </row>
    <row r="82" spans="2:6" x14ac:dyDescent="0.25">
      <c r="B82" s="399">
        <v>41.5</v>
      </c>
      <c r="C82" s="399">
        <v>88.5</v>
      </c>
      <c r="D82" s="399"/>
      <c r="E82" s="399"/>
      <c r="F82" s="399"/>
    </row>
    <row r="83" spans="2:6" x14ac:dyDescent="0.25">
      <c r="B83" s="399">
        <v>42</v>
      </c>
      <c r="C83" s="399">
        <v>88.1</v>
      </c>
      <c r="D83" s="399"/>
      <c r="E83" s="399"/>
      <c r="F83" s="399"/>
    </row>
    <row r="84" spans="2:6" x14ac:dyDescent="0.25">
      <c r="B84" s="399">
        <v>42.5</v>
      </c>
      <c r="C84" s="399">
        <v>87.5</v>
      </c>
      <c r="D84" s="399"/>
      <c r="E84" s="399"/>
      <c r="F84" s="399"/>
    </row>
    <row r="85" spans="2:6" x14ac:dyDescent="0.25">
      <c r="B85" s="399">
        <v>43</v>
      </c>
      <c r="C85" s="399">
        <v>86.8</v>
      </c>
      <c r="D85" s="399"/>
      <c r="E85" s="399"/>
      <c r="F85" s="399"/>
    </row>
    <row r="86" spans="2:6" x14ac:dyDescent="0.25">
      <c r="B86" s="399">
        <v>43.5</v>
      </c>
      <c r="C86" s="399">
        <v>86.2</v>
      </c>
      <c r="D86" s="399"/>
      <c r="E86" s="399"/>
      <c r="F86" s="399"/>
    </row>
    <row r="87" spans="2:6" x14ac:dyDescent="0.25">
      <c r="B87" s="399">
        <v>44</v>
      </c>
      <c r="C87" s="399">
        <v>85.7</v>
      </c>
      <c r="D87" s="399"/>
      <c r="E87" s="399"/>
      <c r="F87" s="399"/>
    </row>
    <row r="88" spans="2:6" x14ac:dyDescent="0.25">
      <c r="B88" s="399">
        <v>44.5</v>
      </c>
      <c r="C88" s="399">
        <v>85.3</v>
      </c>
      <c r="D88" s="399"/>
      <c r="E88" s="399"/>
      <c r="F88" s="399"/>
    </row>
    <row r="89" spans="2:6" x14ac:dyDescent="0.25">
      <c r="B89" s="399">
        <v>45</v>
      </c>
      <c r="C89" s="399">
        <v>84.5</v>
      </c>
      <c r="D89" s="399"/>
      <c r="E89" s="399"/>
      <c r="F89" s="399"/>
    </row>
    <row r="90" spans="2:6" x14ac:dyDescent="0.25">
      <c r="B90" s="399">
        <v>45.5</v>
      </c>
      <c r="C90" s="399">
        <v>83.899999999999991</v>
      </c>
      <c r="D90" s="399"/>
      <c r="E90" s="399"/>
      <c r="F90" s="399"/>
    </row>
    <row r="91" spans="2:6" x14ac:dyDescent="0.25">
      <c r="B91" s="399">
        <v>46</v>
      </c>
      <c r="C91" s="399">
        <v>83.2</v>
      </c>
      <c r="D91" s="399"/>
      <c r="E91" s="399"/>
      <c r="F91" s="399"/>
    </row>
    <row r="92" spans="2:6" x14ac:dyDescent="0.25">
      <c r="B92" s="399">
        <v>46.5</v>
      </c>
      <c r="C92" s="399">
        <v>82.800000000000011</v>
      </c>
      <c r="D92" s="399"/>
      <c r="E92" s="399"/>
      <c r="F92" s="399"/>
    </row>
    <row r="93" spans="2:6" x14ac:dyDescent="0.25">
      <c r="B93" s="399">
        <v>47</v>
      </c>
      <c r="C93" s="399">
        <v>82.3</v>
      </c>
      <c r="D93" s="399"/>
      <c r="E93" s="399"/>
      <c r="F93" s="399"/>
    </row>
    <row r="94" spans="2:6" x14ac:dyDescent="0.25">
      <c r="B94" s="399">
        <v>47.5</v>
      </c>
      <c r="C94" s="399">
        <v>81.400000000000006</v>
      </c>
      <c r="D94" s="399"/>
      <c r="E94" s="399"/>
      <c r="F94" s="399"/>
    </row>
    <row r="95" spans="2:6" x14ac:dyDescent="0.25">
      <c r="B95" s="399">
        <v>48</v>
      </c>
      <c r="C95" s="399">
        <v>80.699999999999989</v>
      </c>
      <c r="D95" s="399"/>
      <c r="E95" s="399"/>
      <c r="F95" s="399"/>
    </row>
    <row r="96" spans="2:6" x14ac:dyDescent="0.25">
      <c r="B96" s="399">
        <v>48.5</v>
      </c>
      <c r="C96" s="399">
        <v>80</v>
      </c>
      <c r="D96" s="399"/>
      <c r="E96" s="399"/>
      <c r="F96" s="399"/>
    </row>
    <row r="97" spans="2:6" x14ac:dyDescent="0.25">
      <c r="B97" s="399">
        <v>49</v>
      </c>
      <c r="C97" s="399">
        <v>79</v>
      </c>
      <c r="D97" s="399"/>
      <c r="E97" s="399"/>
      <c r="F97" s="399"/>
    </row>
    <row r="98" spans="2:6" x14ac:dyDescent="0.25">
      <c r="B98" s="399">
        <v>49.5</v>
      </c>
      <c r="C98" s="399">
        <v>78.400000000000006</v>
      </c>
      <c r="D98" s="399"/>
      <c r="E98" s="399"/>
      <c r="F98" s="399"/>
    </row>
    <row r="99" spans="2:6" x14ac:dyDescent="0.25">
      <c r="B99" s="399">
        <v>50</v>
      </c>
      <c r="C99" s="399">
        <v>77.5</v>
      </c>
      <c r="D99" s="399"/>
      <c r="E99" s="399"/>
      <c r="F99" s="399"/>
    </row>
    <row r="100" spans="2:6" x14ac:dyDescent="0.25">
      <c r="B100" s="399">
        <v>50.5</v>
      </c>
      <c r="C100" s="399">
        <v>76.599999999999994</v>
      </c>
      <c r="D100" s="399"/>
      <c r="E100" s="399"/>
      <c r="F100" s="399"/>
    </row>
    <row r="101" spans="2:6" x14ac:dyDescent="0.25">
      <c r="B101" s="399">
        <v>51</v>
      </c>
      <c r="C101" s="399">
        <v>75.900000000000006</v>
      </c>
      <c r="D101" s="399"/>
      <c r="E101" s="399"/>
      <c r="F101" s="399"/>
    </row>
    <row r="102" spans="2:6" x14ac:dyDescent="0.25">
      <c r="B102" s="399">
        <v>51.5</v>
      </c>
      <c r="C102" s="399">
        <v>75</v>
      </c>
      <c r="D102" s="399"/>
      <c r="E102" s="399"/>
      <c r="F102" s="399"/>
    </row>
    <row r="103" spans="2:6" x14ac:dyDescent="0.25">
      <c r="B103" s="399">
        <v>52</v>
      </c>
      <c r="C103" s="399">
        <v>74.2</v>
      </c>
      <c r="D103" s="399"/>
      <c r="E103" s="399"/>
      <c r="F103" s="399"/>
    </row>
    <row r="104" spans="2:6" x14ac:dyDescent="0.25">
      <c r="B104" s="399">
        <v>52.5</v>
      </c>
      <c r="C104" s="399">
        <v>73.2</v>
      </c>
      <c r="D104" s="399"/>
      <c r="E104" s="399"/>
      <c r="F104" s="399"/>
    </row>
    <row r="105" spans="2:6" x14ac:dyDescent="0.25">
      <c r="B105" s="399">
        <v>53</v>
      </c>
      <c r="C105" s="399">
        <v>72.399999999999991</v>
      </c>
      <c r="D105" s="399"/>
      <c r="E105" s="399"/>
      <c r="F105" s="399"/>
    </row>
    <row r="106" spans="2:6" x14ac:dyDescent="0.25">
      <c r="B106" s="399">
        <v>53.5</v>
      </c>
      <c r="C106" s="399">
        <v>71.599999999999994</v>
      </c>
      <c r="D106" s="399"/>
      <c r="E106" s="399"/>
      <c r="F106" s="399"/>
    </row>
    <row r="107" spans="2:6" x14ac:dyDescent="0.25">
      <c r="B107" s="399">
        <v>54</v>
      </c>
      <c r="C107" s="399">
        <v>70.5</v>
      </c>
      <c r="D107" s="399"/>
      <c r="E107" s="399"/>
      <c r="F107" s="399"/>
    </row>
    <row r="108" spans="2:6" x14ac:dyDescent="0.25">
      <c r="B108" s="399">
        <v>54.5</v>
      </c>
      <c r="C108" s="399">
        <v>69.599999999999994</v>
      </c>
      <c r="D108" s="399"/>
      <c r="E108" s="399"/>
      <c r="F108" s="399"/>
    </row>
    <row r="109" spans="2:6" x14ac:dyDescent="0.25">
      <c r="B109" s="399">
        <v>55</v>
      </c>
      <c r="C109" s="399">
        <v>68.599999999999994</v>
      </c>
      <c r="D109" s="399"/>
      <c r="E109" s="399"/>
      <c r="F109" s="399"/>
    </row>
    <row r="110" spans="2:6" x14ac:dyDescent="0.25">
      <c r="B110" s="399">
        <v>55.5</v>
      </c>
      <c r="C110" s="399">
        <v>67.7</v>
      </c>
      <c r="D110" s="399"/>
      <c r="E110" s="399"/>
      <c r="F110" s="399"/>
    </row>
    <row r="111" spans="2:6" x14ac:dyDescent="0.25">
      <c r="B111" s="399">
        <v>56</v>
      </c>
      <c r="C111" s="399">
        <v>66.7</v>
      </c>
      <c r="D111" s="399"/>
      <c r="E111" s="399"/>
      <c r="F111" s="399"/>
    </row>
    <row r="112" spans="2:6" x14ac:dyDescent="0.25">
      <c r="B112" s="399">
        <v>56.5</v>
      </c>
      <c r="C112" s="399">
        <v>65.600000000000009</v>
      </c>
      <c r="D112" s="399"/>
      <c r="E112" s="399"/>
      <c r="F112" s="399"/>
    </row>
    <row r="113" spans="2:6" x14ac:dyDescent="0.25">
      <c r="B113" s="399">
        <v>57</v>
      </c>
      <c r="C113" s="399">
        <v>64.5</v>
      </c>
      <c r="D113" s="399"/>
      <c r="E113" s="399"/>
      <c r="F113" s="399"/>
    </row>
    <row r="114" spans="2:6" x14ac:dyDescent="0.25">
      <c r="B114" s="399">
        <v>57.5</v>
      </c>
      <c r="C114" s="399">
        <v>63.3</v>
      </c>
      <c r="D114" s="399"/>
      <c r="E114" s="399"/>
      <c r="F114" s="399"/>
    </row>
    <row r="115" spans="2:6" x14ac:dyDescent="0.25">
      <c r="B115" s="399">
        <v>58</v>
      </c>
      <c r="C115" s="399">
        <v>62.1</v>
      </c>
      <c r="D115" s="399"/>
      <c r="E115" s="399"/>
      <c r="F115" s="399"/>
    </row>
    <row r="116" spans="2:6" x14ac:dyDescent="0.25">
      <c r="B116" s="399">
        <v>58.5</v>
      </c>
      <c r="C116" s="399">
        <v>61.1</v>
      </c>
      <c r="D116" s="399"/>
      <c r="E116" s="399"/>
      <c r="F116" s="399"/>
    </row>
    <row r="117" spans="2:6" x14ac:dyDescent="0.25">
      <c r="B117" s="399">
        <v>59</v>
      </c>
      <c r="C117" s="399">
        <v>60</v>
      </c>
      <c r="D117" s="399"/>
      <c r="E117" s="399"/>
      <c r="F117" s="399"/>
    </row>
    <row r="118" spans="2:6" x14ac:dyDescent="0.25">
      <c r="B118" s="399">
        <v>59.5</v>
      </c>
      <c r="C118" s="399">
        <v>58.9</v>
      </c>
      <c r="D118" s="399"/>
      <c r="E118" s="399"/>
      <c r="F118" s="399"/>
    </row>
    <row r="119" spans="2:6" x14ac:dyDescent="0.25">
      <c r="B119" s="399">
        <v>60</v>
      </c>
      <c r="C119" s="399">
        <v>58.000000000000007</v>
      </c>
      <c r="D119" s="399"/>
      <c r="E119" s="399"/>
      <c r="F119" s="399">
        <v>58.000000000000007</v>
      </c>
    </row>
    <row r="120" spans="2:6" x14ac:dyDescent="0.25">
      <c r="B120" s="399">
        <v>60.5</v>
      </c>
      <c r="C120" s="399">
        <v>57.099999999999994</v>
      </c>
      <c r="D120" s="399"/>
      <c r="E120" s="399"/>
      <c r="F120" s="399"/>
    </row>
    <row r="121" spans="2:6" x14ac:dyDescent="0.25">
      <c r="B121" s="399">
        <v>61</v>
      </c>
      <c r="C121" s="399">
        <v>56.000000000000007</v>
      </c>
      <c r="D121" s="399"/>
      <c r="E121" s="399"/>
      <c r="F121" s="399"/>
    </row>
    <row r="122" spans="2:6" x14ac:dyDescent="0.25">
      <c r="B122" s="399">
        <v>61.5</v>
      </c>
      <c r="C122" s="399">
        <v>55.000000000000007</v>
      </c>
      <c r="D122" s="399"/>
      <c r="E122" s="399"/>
      <c r="F122" s="399"/>
    </row>
    <row r="123" spans="2:6" x14ac:dyDescent="0.25">
      <c r="B123" s="399">
        <v>62</v>
      </c>
      <c r="C123" s="399">
        <v>53.899999999999991</v>
      </c>
      <c r="D123" s="399"/>
      <c r="E123" s="399"/>
      <c r="F123" s="399"/>
    </row>
    <row r="124" spans="2:6" x14ac:dyDescent="0.25">
      <c r="B124" s="399">
        <v>62.5</v>
      </c>
      <c r="C124" s="399">
        <v>52.7</v>
      </c>
      <c r="D124" s="399"/>
      <c r="E124" s="399"/>
      <c r="F124" s="399"/>
    </row>
    <row r="125" spans="2:6" x14ac:dyDescent="0.25">
      <c r="B125" s="399">
        <v>63</v>
      </c>
      <c r="C125" s="399">
        <v>51.5</v>
      </c>
      <c r="D125" s="399"/>
      <c r="E125" s="399"/>
      <c r="F125" s="399"/>
    </row>
    <row r="126" spans="2:6" x14ac:dyDescent="0.25">
      <c r="B126" s="399">
        <v>63.5</v>
      </c>
      <c r="C126" s="399">
        <v>50.3</v>
      </c>
      <c r="D126" s="399"/>
      <c r="E126" s="399"/>
      <c r="F126" s="399"/>
    </row>
    <row r="127" spans="2:6" x14ac:dyDescent="0.25">
      <c r="B127" s="399">
        <v>64</v>
      </c>
      <c r="C127" s="399">
        <v>48.9</v>
      </c>
      <c r="D127" s="399"/>
      <c r="E127" s="399"/>
      <c r="F127" s="399"/>
    </row>
    <row r="128" spans="2:6" x14ac:dyDescent="0.25">
      <c r="B128" s="399">
        <v>64.5</v>
      </c>
      <c r="C128" s="399">
        <v>47.699999999999996</v>
      </c>
      <c r="D128" s="399"/>
      <c r="E128" s="399"/>
      <c r="F128" s="399"/>
    </row>
    <row r="129" spans="2:6" x14ac:dyDescent="0.25">
      <c r="B129" s="399">
        <v>65</v>
      </c>
      <c r="C129" s="399">
        <v>46.699999999999996</v>
      </c>
      <c r="D129" s="399"/>
      <c r="E129" s="399"/>
      <c r="F129" s="399"/>
    </row>
    <row r="130" spans="2:6" x14ac:dyDescent="0.25">
      <c r="B130" s="399">
        <v>65.5</v>
      </c>
      <c r="C130" s="399">
        <v>45.8</v>
      </c>
      <c r="D130" s="399"/>
      <c r="E130" s="399"/>
      <c r="F130" s="399"/>
    </row>
    <row r="131" spans="2:6" x14ac:dyDescent="0.25">
      <c r="B131" s="399">
        <v>66</v>
      </c>
      <c r="C131" s="399">
        <v>44.8</v>
      </c>
      <c r="D131" s="399"/>
      <c r="E131" s="399"/>
      <c r="F131" s="399"/>
    </row>
    <row r="132" spans="2:6" x14ac:dyDescent="0.25">
      <c r="B132" s="399">
        <v>66.5</v>
      </c>
      <c r="C132" s="399">
        <v>43.600000000000009</v>
      </c>
      <c r="D132" s="399"/>
      <c r="E132" s="399"/>
      <c r="F132" s="399"/>
    </row>
    <row r="133" spans="2:6" x14ac:dyDescent="0.25">
      <c r="B133" s="399">
        <v>67</v>
      </c>
      <c r="C133" s="399">
        <v>42.400000000000006</v>
      </c>
      <c r="D133" s="399"/>
      <c r="E133" s="399"/>
      <c r="F133" s="399"/>
    </row>
    <row r="134" spans="2:6" x14ac:dyDescent="0.25">
      <c r="B134" s="399">
        <v>67.5</v>
      </c>
      <c r="C134" s="399">
        <v>41.5</v>
      </c>
      <c r="D134" s="399"/>
      <c r="E134" s="399"/>
      <c r="F134" s="399"/>
    </row>
    <row r="135" spans="2:6" x14ac:dyDescent="0.25">
      <c r="B135" s="399">
        <v>68</v>
      </c>
      <c r="C135" s="399">
        <v>40.5</v>
      </c>
      <c r="D135" s="399"/>
      <c r="E135" s="399"/>
      <c r="F135" s="399"/>
    </row>
    <row r="136" spans="2:6" x14ac:dyDescent="0.25">
      <c r="B136" s="399">
        <v>68.5</v>
      </c>
      <c r="C136" s="399">
        <v>39.300000000000004</v>
      </c>
      <c r="D136" s="399">
        <v>39.300000000000004</v>
      </c>
      <c r="E136" s="399"/>
      <c r="F136" s="399"/>
    </row>
    <row r="137" spans="2:6" x14ac:dyDescent="0.25">
      <c r="B137" s="399">
        <v>69</v>
      </c>
      <c r="C137" s="399">
        <v>38.299999999999997</v>
      </c>
      <c r="D137" s="399"/>
      <c r="E137" s="399"/>
      <c r="F137" s="399"/>
    </row>
    <row r="138" spans="2:6" x14ac:dyDescent="0.25">
      <c r="B138" s="399">
        <v>69.5</v>
      </c>
      <c r="C138" s="399">
        <v>37.6</v>
      </c>
      <c r="D138" s="399"/>
      <c r="E138" s="399"/>
      <c r="F138" s="399"/>
    </row>
    <row r="139" spans="2:6" x14ac:dyDescent="0.25">
      <c r="B139" s="399">
        <v>70</v>
      </c>
      <c r="C139" s="399">
        <v>36.5</v>
      </c>
      <c r="D139" s="399"/>
      <c r="E139" s="399"/>
      <c r="F139" s="399"/>
    </row>
    <row r="140" spans="2:6" x14ac:dyDescent="0.25">
      <c r="B140" s="399">
        <v>70.5</v>
      </c>
      <c r="C140" s="399">
        <v>35.299999999999997</v>
      </c>
      <c r="D140" s="399"/>
      <c r="E140" s="399"/>
      <c r="F140" s="399"/>
    </row>
    <row r="141" spans="2:6" x14ac:dyDescent="0.25">
      <c r="B141" s="399">
        <v>71</v>
      </c>
      <c r="C141" s="399">
        <v>34.4</v>
      </c>
      <c r="D141" s="399"/>
      <c r="E141" s="399"/>
      <c r="F141" s="399"/>
    </row>
    <row r="142" spans="2:6" x14ac:dyDescent="0.25">
      <c r="B142" s="399">
        <v>71.5</v>
      </c>
      <c r="C142" s="399">
        <v>33.699999999999996</v>
      </c>
      <c r="D142" s="399"/>
      <c r="E142" s="399"/>
      <c r="F142" s="399"/>
    </row>
    <row r="143" spans="2:6" x14ac:dyDescent="0.25">
      <c r="B143" s="399">
        <v>72</v>
      </c>
      <c r="C143" s="399">
        <v>32.799999999999997</v>
      </c>
      <c r="D143" s="399"/>
      <c r="E143" s="399"/>
      <c r="F143" s="399"/>
    </row>
    <row r="144" spans="2:6" x14ac:dyDescent="0.25">
      <c r="B144" s="399">
        <v>72.5</v>
      </c>
      <c r="C144" s="399">
        <v>31.699999999999996</v>
      </c>
      <c r="D144" s="399"/>
      <c r="E144" s="399"/>
      <c r="F144" s="399"/>
    </row>
    <row r="145" spans="2:6" x14ac:dyDescent="0.25">
      <c r="B145" s="399">
        <v>73</v>
      </c>
      <c r="C145" s="399">
        <v>31.000000000000007</v>
      </c>
      <c r="D145" s="399"/>
      <c r="E145" s="399"/>
      <c r="F145" s="399"/>
    </row>
    <row r="146" spans="2:6" x14ac:dyDescent="0.25">
      <c r="B146" s="399">
        <v>73.5</v>
      </c>
      <c r="C146" s="399">
        <v>30.300000000000004</v>
      </c>
      <c r="D146" s="399"/>
      <c r="E146" s="399"/>
      <c r="F146" s="399"/>
    </row>
    <row r="147" spans="2:6" x14ac:dyDescent="0.25">
      <c r="B147" s="399">
        <v>74</v>
      </c>
      <c r="C147" s="399">
        <v>29.400000000000006</v>
      </c>
      <c r="D147" s="399"/>
      <c r="E147" s="399"/>
      <c r="F147" s="399"/>
    </row>
    <row r="148" spans="2:6" x14ac:dyDescent="0.25">
      <c r="B148" s="399">
        <v>74.5</v>
      </c>
      <c r="C148" s="399">
        <v>28.6</v>
      </c>
      <c r="D148" s="399"/>
      <c r="E148" s="399"/>
      <c r="F148" s="399"/>
    </row>
    <row r="149" spans="2:6" x14ac:dyDescent="0.25">
      <c r="B149" s="399">
        <v>75</v>
      </c>
      <c r="C149" s="399">
        <v>27.800000000000004</v>
      </c>
      <c r="D149" s="399"/>
      <c r="E149" s="399"/>
      <c r="F149" s="399"/>
    </row>
    <row r="150" spans="2:6" x14ac:dyDescent="0.25">
      <c r="B150" s="399">
        <v>75.5</v>
      </c>
      <c r="C150" s="399">
        <v>27</v>
      </c>
      <c r="D150" s="399"/>
      <c r="E150" s="399"/>
      <c r="F150" s="399"/>
    </row>
    <row r="151" spans="2:6" x14ac:dyDescent="0.25">
      <c r="B151" s="399">
        <v>76</v>
      </c>
      <c r="C151" s="399">
        <v>26.3</v>
      </c>
      <c r="D151" s="399"/>
      <c r="E151" s="399"/>
      <c r="F151" s="399"/>
    </row>
    <row r="152" spans="2:6" x14ac:dyDescent="0.25">
      <c r="B152" s="399">
        <v>76.5</v>
      </c>
      <c r="C152" s="399">
        <v>25.3</v>
      </c>
      <c r="D152" s="399"/>
      <c r="E152" s="399"/>
      <c r="F152" s="399"/>
    </row>
    <row r="153" spans="2:6" x14ac:dyDescent="0.25">
      <c r="B153" s="399">
        <v>77</v>
      </c>
      <c r="C153" s="399">
        <v>24.6</v>
      </c>
      <c r="D153" s="399"/>
      <c r="E153" s="399"/>
      <c r="F153" s="399"/>
    </row>
    <row r="154" spans="2:6" x14ac:dyDescent="0.25">
      <c r="B154" s="399">
        <v>77.5</v>
      </c>
      <c r="C154" s="399">
        <v>23.799999999999997</v>
      </c>
      <c r="D154" s="399"/>
      <c r="E154" s="399"/>
      <c r="F154" s="399"/>
    </row>
    <row r="155" spans="2:6" x14ac:dyDescent="0.25">
      <c r="B155" s="399">
        <v>78</v>
      </c>
      <c r="C155" s="399">
        <v>23</v>
      </c>
      <c r="D155" s="399"/>
      <c r="E155" s="399"/>
      <c r="F155" s="399"/>
    </row>
    <row r="156" spans="2:6" x14ac:dyDescent="0.25">
      <c r="B156" s="399">
        <v>78.5</v>
      </c>
      <c r="C156" s="399">
        <v>22.299999999999997</v>
      </c>
      <c r="D156" s="399"/>
      <c r="E156" s="399"/>
      <c r="F156" s="399"/>
    </row>
    <row r="157" spans="2:6" x14ac:dyDescent="0.25">
      <c r="B157" s="399">
        <v>79</v>
      </c>
      <c r="C157" s="399">
        <v>21.4</v>
      </c>
      <c r="D157" s="399"/>
      <c r="E157" s="399"/>
      <c r="F157" s="399"/>
    </row>
    <row r="158" spans="2:6" x14ac:dyDescent="0.25">
      <c r="B158" s="399">
        <v>79.5</v>
      </c>
      <c r="C158" s="399">
        <v>20.799999999999997</v>
      </c>
      <c r="D158" s="399"/>
      <c r="E158" s="399"/>
      <c r="F158" s="399"/>
    </row>
    <row r="159" spans="2:6" x14ac:dyDescent="0.25">
      <c r="B159" s="399">
        <v>80</v>
      </c>
      <c r="C159" s="399">
        <v>19.999999999999996</v>
      </c>
      <c r="D159" s="399"/>
      <c r="E159" s="399"/>
      <c r="F159" s="399"/>
    </row>
    <row r="160" spans="2:6" x14ac:dyDescent="0.25">
      <c r="B160" s="399">
        <v>80.5</v>
      </c>
      <c r="C160" s="399">
        <v>19.499999999999996</v>
      </c>
      <c r="D160" s="399"/>
      <c r="E160" s="399"/>
      <c r="F160" s="399"/>
    </row>
    <row r="161" spans="2:6" x14ac:dyDescent="0.25">
      <c r="B161" s="399">
        <v>81</v>
      </c>
      <c r="C161" s="399">
        <v>18.799999999999994</v>
      </c>
      <c r="D161" s="399"/>
      <c r="E161" s="399"/>
      <c r="F161" s="399"/>
    </row>
    <row r="162" spans="2:6" x14ac:dyDescent="0.25">
      <c r="B162" s="399">
        <v>81.5</v>
      </c>
      <c r="C162" s="399">
        <v>18.100000000000005</v>
      </c>
      <c r="D162" s="399"/>
      <c r="E162" s="399"/>
      <c r="F162" s="399"/>
    </row>
    <row r="163" spans="2:6" x14ac:dyDescent="0.25">
      <c r="B163" s="399">
        <v>82</v>
      </c>
      <c r="C163" s="399">
        <v>17.400000000000006</v>
      </c>
      <c r="D163" s="399"/>
      <c r="E163" s="399"/>
      <c r="F163" s="399"/>
    </row>
    <row r="164" spans="2:6" x14ac:dyDescent="0.25">
      <c r="B164" s="399">
        <v>82.5</v>
      </c>
      <c r="C164" s="399">
        <v>16.800000000000004</v>
      </c>
      <c r="D164" s="399"/>
      <c r="E164" s="399"/>
      <c r="F164" s="399"/>
    </row>
    <row r="165" spans="2:6" x14ac:dyDescent="0.25">
      <c r="B165" s="399">
        <v>83</v>
      </c>
      <c r="C165" s="399">
        <v>16.100000000000001</v>
      </c>
      <c r="D165" s="399"/>
      <c r="E165" s="399"/>
      <c r="F165" s="399"/>
    </row>
    <row r="166" spans="2:6" x14ac:dyDescent="0.25">
      <c r="B166" s="399">
        <v>83.5</v>
      </c>
      <c r="C166" s="399">
        <v>15.800000000000002</v>
      </c>
      <c r="D166" s="399"/>
      <c r="E166" s="399"/>
      <c r="F166" s="399"/>
    </row>
    <row r="167" spans="2:6" x14ac:dyDescent="0.25">
      <c r="B167" s="399">
        <v>84</v>
      </c>
      <c r="C167" s="399">
        <v>15.200000000000003</v>
      </c>
      <c r="D167" s="399"/>
      <c r="E167" s="399"/>
      <c r="F167" s="399"/>
    </row>
    <row r="168" spans="2:6" x14ac:dyDescent="0.25">
      <c r="B168" s="399">
        <v>84.5</v>
      </c>
      <c r="C168" s="399">
        <v>14.800000000000002</v>
      </c>
      <c r="D168" s="399"/>
      <c r="E168" s="399"/>
      <c r="F168" s="399"/>
    </row>
    <row r="169" spans="2:6" x14ac:dyDescent="0.25">
      <c r="B169" s="399">
        <v>85</v>
      </c>
      <c r="C169" s="399">
        <v>14.200000000000001</v>
      </c>
      <c r="D169" s="399"/>
      <c r="E169" s="399"/>
      <c r="F169" s="399"/>
    </row>
    <row r="170" spans="2:6" x14ac:dyDescent="0.25">
      <c r="B170" s="399">
        <v>85.5</v>
      </c>
      <c r="C170" s="399">
        <v>13.900000000000002</v>
      </c>
      <c r="D170" s="399"/>
      <c r="E170" s="399"/>
      <c r="F170" s="399"/>
    </row>
    <row r="171" spans="2:6" x14ac:dyDescent="0.25">
      <c r="B171" s="399">
        <v>86</v>
      </c>
      <c r="C171" s="399">
        <v>13.4</v>
      </c>
      <c r="D171" s="399"/>
      <c r="E171" s="399"/>
      <c r="F171" s="399"/>
    </row>
    <row r="172" spans="2:6" x14ac:dyDescent="0.25">
      <c r="B172" s="399">
        <v>86.5</v>
      </c>
      <c r="C172" s="399">
        <v>13.100000000000001</v>
      </c>
      <c r="D172" s="399"/>
      <c r="E172" s="399"/>
      <c r="F172" s="399"/>
    </row>
    <row r="173" spans="2:6" x14ac:dyDescent="0.25">
      <c r="B173" s="399">
        <v>87</v>
      </c>
      <c r="C173" s="399">
        <v>12.8</v>
      </c>
      <c r="D173" s="399"/>
      <c r="E173" s="399"/>
      <c r="F173" s="399"/>
    </row>
    <row r="174" spans="2:6" x14ac:dyDescent="0.25">
      <c r="B174" s="399">
        <v>87.5</v>
      </c>
      <c r="C174" s="399">
        <v>12.4</v>
      </c>
      <c r="D174" s="399"/>
      <c r="E174" s="399"/>
      <c r="F174" s="399"/>
    </row>
    <row r="175" spans="2:6" x14ac:dyDescent="0.25">
      <c r="B175" s="399">
        <v>88</v>
      </c>
      <c r="C175" s="399">
        <v>12.1</v>
      </c>
      <c r="D175" s="399"/>
      <c r="E175" s="399"/>
      <c r="F175" s="399"/>
    </row>
    <row r="176" spans="2:6" x14ac:dyDescent="0.25">
      <c r="B176" s="399">
        <v>88.5</v>
      </c>
      <c r="C176" s="399">
        <v>11.5</v>
      </c>
      <c r="D176" s="399"/>
      <c r="E176" s="399"/>
      <c r="F176" s="399"/>
    </row>
    <row r="177" spans="2:6" x14ac:dyDescent="0.25">
      <c r="B177" s="399">
        <v>89</v>
      </c>
      <c r="C177" s="399">
        <v>11.2</v>
      </c>
      <c r="D177" s="399"/>
      <c r="E177" s="399"/>
      <c r="F177" s="399"/>
    </row>
    <row r="178" spans="2:6" x14ac:dyDescent="0.25">
      <c r="B178" s="399">
        <v>89.5</v>
      </c>
      <c r="C178" s="399">
        <v>10.799999999999999</v>
      </c>
      <c r="D178" s="399"/>
      <c r="E178" s="399"/>
      <c r="F178" s="399"/>
    </row>
    <row r="179" spans="2:6" x14ac:dyDescent="0.25">
      <c r="B179" s="399">
        <v>90</v>
      </c>
      <c r="C179" s="399">
        <v>10.399999999999999</v>
      </c>
      <c r="D179" s="399"/>
      <c r="E179" s="399"/>
      <c r="F179" s="399"/>
    </row>
    <row r="180" spans="2:6" x14ac:dyDescent="0.25">
      <c r="B180" s="399">
        <v>90.5</v>
      </c>
      <c r="C180" s="399">
        <v>9.9999999999999982</v>
      </c>
      <c r="D180" s="399"/>
      <c r="E180" s="399"/>
      <c r="F180" s="399"/>
    </row>
    <row r="181" spans="2:6" x14ac:dyDescent="0.25">
      <c r="B181" s="399">
        <v>91</v>
      </c>
      <c r="C181" s="399">
        <v>9.6999999999999975</v>
      </c>
      <c r="D181" s="399"/>
      <c r="E181" s="399"/>
      <c r="F181" s="399"/>
    </row>
    <row r="182" spans="2:6" x14ac:dyDescent="0.25">
      <c r="B182" s="399">
        <v>91.5</v>
      </c>
      <c r="C182" s="399">
        <v>9.3999999999999968</v>
      </c>
      <c r="D182" s="399"/>
      <c r="E182" s="399"/>
      <c r="F182" s="399"/>
    </row>
    <row r="183" spans="2:6" x14ac:dyDescent="0.25">
      <c r="B183" s="399">
        <v>92</v>
      </c>
      <c r="C183" s="399">
        <v>9.0999999999999979</v>
      </c>
      <c r="D183" s="399"/>
      <c r="E183" s="399"/>
      <c r="F183" s="399"/>
    </row>
    <row r="184" spans="2:6" x14ac:dyDescent="0.25">
      <c r="B184" s="399">
        <v>92.5</v>
      </c>
      <c r="C184" s="399">
        <v>8.8999999999999968</v>
      </c>
      <c r="D184" s="399"/>
      <c r="E184" s="399"/>
      <c r="F184" s="399"/>
    </row>
    <row r="185" spans="2:6" x14ac:dyDescent="0.25">
      <c r="B185" s="399">
        <v>93</v>
      </c>
      <c r="C185" s="399">
        <v>8.3999999999999968</v>
      </c>
      <c r="D185" s="399"/>
      <c r="E185" s="399"/>
      <c r="F185" s="399"/>
    </row>
    <row r="186" spans="2:6" x14ac:dyDescent="0.25">
      <c r="B186" s="399">
        <v>93.5</v>
      </c>
      <c r="C186" s="399">
        <v>7.9999999999999964</v>
      </c>
      <c r="D186" s="399"/>
      <c r="E186" s="399"/>
      <c r="F186" s="399"/>
    </row>
    <row r="187" spans="2:6" x14ac:dyDescent="0.25">
      <c r="B187" s="399">
        <v>94</v>
      </c>
      <c r="C187" s="399">
        <v>7.6999999999999957</v>
      </c>
      <c r="D187" s="399"/>
      <c r="E187" s="399"/>
      <c r="F187" s="399"/>
    </row>
    <row r="188" spans="2:6" x14ac:dyDescent="0.25">
      <c r="B188" s="399">
        <v>94.5</v>
      </c>
      <c r="C188" s="399">
        <v>7.399999999999995</v>
      </c>
      <c r="D188" s="399"/>
      <c r="E188" s="399"/>
      <c r="F188" s="399"/>
    </row>
    <row r="189" spans="2:6" x14ac:dyDescent="0.25">
      <c r="B189" s="399">
        <v>95</v>
      </c>
      <c r="C189" s="399">
        <v>7.1999999999999957</v>
      </c>
      <c r="D189" s="399"/>
      <c r="E189" s="399"/>
      <c r="F189" s="399"/>
    </row>
    <row r="190" spans="2:6" x14ac:dyDescent="0.25">
      <c r="B190" s="399">
        <v>95.5</v>
      </c>
      <c r="C190" s="399">
        <v>6.9999999999999947</v>
      </c>
      <c r="D190" s="399"/>
      <c r="E190" s="399"/>
      <c r="F190" s="399"/>
    </row>
    <row r="191" spans="2:6" x14ac:dyDescent="0.25">
      <c r="B191" s="399">
        <v>96</v>
      </c>
      <c r="C191" s="399">
        <v>6.6999999999999948</v>
      </c>
      <c r="D191" s="399"/>
      <c r="E191" s="399"/>
      <c r="F191" s="399"/>
    </row>
    <row r="192" spans="2:6" x14ac:dyDescent="0.25">
      <c r="B192" s="399">
        <v>96.5</v>
      </c>
      <c r="C192" s="399">
        <v>6.4999999999999947</v>
      </c>
      <c r="D192" s="399"/>
      <c r="E192" s="399"/>
      <c r="F192" s="399"/>
    </row>
    <row r="193" spans="2:6" x14ac:dyDescent="0.25">
      <c r="B193" s="399">
        <v>97</v>
      </c>
      <c r="C193" s="399">
        <v>6.2000000000000055</v>
      </c>
      <c r="D193" s="399"/>
      <c r="E193" s="399"/>
      <c r="F193" s="399"/>
    </row>
    <row r="194" spans="2:6" x14ac:dyDescent="0.25">
      <c r="B194" s="399">
        <v>97.5</v>
      </c>
      <c r="C194" s="399">
        <v>6.100000000000005</v>
      </c>
      <c r="D194" s="399"/>
      <c r="E194" s="399"/>
      <c r="F194" s="399"/>
    </row>
    <row r="195" spans="2:6" x14ac:dyDescent="0.25">
      <c r="B195" s="399">
        <v>98</v>
      </c>
      <c r="C195" s="399">
        <v>6.0000000000000053</v>
      </c>
      <c r="D195" s="399"/>
      <c r="E195" s="399"/>
      <c r="F195" s="399"/>
    </row>
    <row r="196" spans="2:6" x14ac:dyDescent="0.25">
      <c r="B196" s="399">
        <v>98.5</v>
      </c>
      <c r="C196" s="399">
        <v>5.8000000000000052</v>
      </c>
      <c r="D196" s="399"/>
      <c r="E196" s="399"/>
      <c r="F196" s="399"/>
    </row>
    <row r="197" spans="2:6" x14ac:dyDescent="0.25">
      <c r="B197" s="399">
        <v>99</v>
      </c>
      <c r="C197" s="399">
        <v>5.600000000000005</v>
      </c>
      <c r="D197" s="399"/>
      <c r="E197" s="399">
        <v>5.600000000000005</v>
      </c>
      <c r="F197" s="399"/>
    </row>
    <row r="198" spans="2:6" x14ac:dyDescent="0.25">
      <c r="B198" s="399">
        <v>99.5</v>
      </c>
      <c r="C198" s="399">
        <v>5.5000000000000053</v>
      </c>
      <c r="D198" s="399"/>
      <c r="E198" s="399"/>
      <c r="F198" s="399"/>
    </row>
    <row r="199" spans="2:6" x14ac:dyDescent="0.25">
      <c r="B199" s="399">
        <v>100</v>
      </c>
      <c r="C199" s="399">
        <v>5.4000000000000048</v>
      </c>
      <c r="D199" s="399"/>
      <c r="E199" s="399"/>
      <c r="F199" s="399"/>
    </row>
    <row r="200" spans="2:6" x14ac:dyDescent="0.25">
      <c r="B200" s="399">
        <v>100.5</v>
      </c>
      <c r="C200" s="399">
        <v>5.2000000000000046</v>
      </c>
      <c r="D200" s="399"/>
      <c r="E200" s="399"/>
      <c r="F200" s="399"/>
    </row>
    <row r="201" spans="2:6" x14ac:dyDescent="0.25">
      <c r="B201" s="399">
        <v>101</v>
      </c>
      <c r="C201" s="399">
        <v>5.100000000000005</v>
      </c>
      <c r="D201" s="399"/>
      <c r="E201" s="399"/>
      <c r="F201" s="399"/>
    </row>
    <row r="202" spans="2:6" x14ac:dyDescent="0.25">
      <c r="B202" s="399">
        <v>101.5</v>
      </c>
      <c r="C202" s="399">
        <v>4.8000000000000043</v>
      </c>
      <c r="D202" s="399"/>
      <c r="E202" s="399"/>
      <c r="F202" s="399"/>
    </row>
    <row r="203" spans="2:6" x14ac:dyDescent="0.25">
      <c r="B203" s="399">
        <v>102</v>
      </c>
      <c r="C203" s="399">
        <v>4.7000000000000046</v>
      </c>
      <c r="D203" s="399"/>
      <c r="E203" s="399"/>
      <c r="F203" s="399"/>
    </row>
    <row r="204" spans="2:6" x14ac:dyDescent="0.25">
      <c r="B204" s="399">
        <v>102.5</v>
      </c>
      <c r="C204" s="399">
        <v>4.6000000000000041</v>
      </c>
      <c r="D204" s="399"/>
      <c r="E204" s="399"/>
      <c r="F204" s="399"/>
    </row>
    <row r="205" spans="2:6" x14ac:dyDescent="0.25">
      <c r="B205" s="399">
        <v>103</v>
      </c>
      <c r="C205" s="399">
        <v>4.5000000000000036</v>
      </c>
      <c r="D205" s="399"/>
      <c r="E205" s="399"/>
      <c r="F205" s="399"/>
    </row>
    <row r="206" spans="2:6" x14ac:dyDescent="0.25">
      <c r="B206" s="399">
        <v>103.5</v>
      </c>
      <c r="C206" s="399">
        <v>4.2000000000000037</v>
      </c>
      <c r="D206" s="399"/>
      <c r="E206" s="399"/>
      <c r="F206" s="399"/>
    </row>
    <row r="207" spans="2:6" x14ac:dyDescent="0.25">
      <c r="B207" s="399">
        <v>104</v>
      </c>
      <c r="C207" s="399">
        <v>4.1000000000000032</v>
      </c>
      <c r="D207" s="399"/>
      <c r="E207" s="399"/>
      <c r="F207" s="399"/>
    </row>
    <row r="208" spans="2:6" x14ac:dyDescent="0.25">
      <c r="B208" s="399">
        <v>104.5</v>
      </c>
      <c r="C208" s="399">
        <v>4.0000000000000036</v>
      </c>
      <c r="D208" s="399"/>
      <c r="E208" s="399"/>
      <c r="F208" s="399"/>
    </row>
    <row r="209" spans="2:6" x14ac:dyDescent="0.25">
      <c r="B209" s="399">
        <v>105</v>
      </c>
      <c r="C209" s="399">
        <v>3.8000000000000034</v>
      </c>
      <c r="D209" s="399"/>
      <c r="E209" s="399"/>
      <c r="F209" s="399"/>
    </row>
    <row r="210" spans="2:6" x14ac:dyDescent="0.25">
      <c r="B210" s="399">
        <v>105.5</v>
      </c>
      <c r="C210" s="399">
        <v>3.7000000000000033</v>
      </c>
      <c r="D210" s="399"/>
      <c r="E210" s="399"/>
      <c r="F210" s="399"/>
    </row>
    <row r="211" spans="2:6" x14ac:dyDescent="0.25">
      <c r="B211" s="399">
        <v>106</v>
      </c>
      <c r="C211" s="399">
        <v>3.5000000000000031</v>
      </c>
      <c r="D211" s="399"/>
      <c r="E211" s="399"/>
      <c r="F211" s="399"/>
    </row>
    <row r="212" spans="2:6" x14ac:dyDescent="0.25">
      <c r="B212" s="399">
        <v>106.5</v>
      </c>
      <c r="C212" s="399">
        <v>3.5000000000000031</v>
      </c>
      <c r="D212" s="399"/>
      <c r="E212" s="399"/>
      <c r="F212" s="399"/>
    </row>
    <row r="213" spans="2:6" x14ac:dyDescent="0.25">
      <c r="B213" s="399">
        <v>107</v>
      </c>
      <c r="C213" s="399">
        <v>3.400000000000003</v>
      </c>
      <c r="D213" s="399"/>
      <c r="E213" s="399"/>
      <c r="F213" s="399"/>
    </row>
    <row r="214" spans="2:6" x14ac:dyDescent="0.25">
      <c r="B214" s="399">
        <v>107.5</v>
      </c>
      <c r="C214" s="399">
        <v>3.3000000000000029</v>
      </c>
      <c r="D214" s="399"/>
      <c r="E214" s="399"/>
      <c r="F214" s="399"/>
    </row>
    <row r="215" spans="2:6" x14ac:dyDescent="0.25">
      <c r="B215" s="399">
        <v>108</v>
      </c>
      <c r="C215" s="399">
        <v>3.2000000000000028</v>
      </c>
      <c r="D215" s="399"/>
      <c r="E215" s="399"/>
      <c r="F215" s="399"/>
    </row>
    <row r="216" spans="2:6" x14ac:dyDescent="0.25">
      <c r="B216" s="399">
        <v>108.5</v>
      </c>
      <c r="C216" s="399">
        <v>3.0000000000000027</v>
      </c>
      <c r="D216" s="399"/>
      <c r="E216" s="399"/>
      <c r="F216" s="399"/>
    </row>
    <row r="217" spans="2:6" x14ac:dyDescent="0.25">
      <c r="B217" s="399">
        <v>109</v>
      </c>
      <c r="C217" s="399">
        <v>3.0000000000000027</v>
      </c>
      <c r="D217" s="399"/>
      <c r="E217" s="399"/>
      <c r="F217" s="399"/>
    </row>
    <row r="218" spans="2:6" x14ac:dyDescent="0.25">
      <c r="B218" s="399">
        <v>109.5</v>
      </c>
      <c r="C218" s="399">
        <v>2.9000000000000026</v>
      </c>
      <c r="D218" s="399"/>
      <c r="E218" s="399"/>
      <c r="F218" s="399"/>
    </row>
    <row r="219" spans="2:6" x14ac:dyDescent="0.25">
      <c r="B219" s="399">
        <v>110</v>
      </c>
      <c r="C219" s="399">
        <v>2.8000000000000025</v>
      </c>
      <c r="D219" s="399"/>
      <c r="E219" s="399"/>
      <c r="F219" s="399"/>
    </row>
    <row r="220" spans="2:6" x14ac:dyDescent="0.25">
      <c r="B220" s="399">
        <v>110.5</v>
      </c>
      <c r="C220" s="399">
        <v>2.7000000000000024</v>
      </c>
      <c r="D220" s="399"/>
      <c r="E220" s="399"/>
      <c r="F220" s="399"/>
    </row>
    <row r="221" spans="2:6" x14ac:dyDescent="0.25">
      <c r="B221" s="399">
        <v>111</v>
      </c>
      <c r="C221" s="399">
        <v>2.6000000000000023</v>
      </c>
      <c r="D221" s="399"/>
      <c r="E221" s="399"/>
      <c r="F221" s="399"/>
    </row>
    <row r="222" spans="2:6" x14ac:dyDescent="0.25">
      <c r="B222" s="399">
        <v>111.5</v>
      </c>
      <c r="C222" s="399">
        <v>2.6000000000000023</v>
      </c>
      <c r="D222" s="399"/>
      <c r="E222" s="399"/>
      <c r="F222" s="399"/>
    </row>
    <row r="223" spans="2:6" x14ac:dyDescent="0.25">
      <c r="B223" s="399">
        <v>112</v>
      </c>
      <c r="C223" s="399">
        <v>2.5000000000000022</v>
      </c>
      <c r="D223" s="399"/>
      <c r="E223" s="399"/>
      <c r="F223" s="399"/>
    </row>
    <row r="224" spans="2:6" x14ac:dyDescent="0.25">
      <c r="B224" s="399">
        <v>112.5</v>
      </c>
      <c r="C224" s="399">
        <v>2.4000000000000021</v>
      </c>
      <c r="D224" s="399"/>
      <c r="E224" s="399"/>
      <c r="F224" s="399"/>
    </row>
    <row r="225" spans="2:6" x14ac:dyDescent="0.25">
      <c r="B225" s="399">
        <v>113</v>
      </c>
      <c r="C225" s="399">
        <v>2.300000000000002</v>
      </c>
      <c r="D225" s="399"/>
      <c r="E225" s="399"/>
      <c r="F225" s="399"/>
    </row>
    <row r="226" spans="2:6" x14ac:dyDescent="0.25">
      <c r="B226" s="399">
        <v>113.5</v>
      </c>
      <c r="C226" s="399">
        <v>2.200000000000002</v>
      </c>
      <c r="D226" s="399"/>
      <c r="E226" s="399"/>
      <c r="F226" s="399"/>
    </row>
    <row r="227" spans="2:6" x14ac:dyDescent="0.25">
      <c r="B227" s="399">
        <v>114</v>
      </c>
      <c r="C227" s="399">
        <v>2.200000000000002</v>
      </c>
      <c r="D227" s="399"/>
      <c r="E227" s="399"/>
      <c r="F227" s="399"/>
    </row>
    <row r="228" spans="2:6" x14ac:dyDescent="0.25">
      <c r="B228" s="399">
        <v>114.5</v>
      </c>
      <c r="C228" s="399">
        <v>2.1000000000000019</v>
      </c>
      <c r="D228" s="399"/>
      <c r="E228" s="399"/>
      <c r="F228" s="399"/>
    </row>
    <row r="229" spans="2:6" x14ac:dyDescent="0.25">
      <c r="B229" s="399">
        <v>115</v>
      </c>
      <c r="C229" s="399">
        <v>2.0000000000000018</v>
      </c>
      <c r="D229" s="399"/>
      <c r="E229" s="399"/>
      <c r="F229" s="399"/>
    </row>
    <row r="230" spans="2:6" x14ac:dyDescent="0.25">
      <c r="B230" s="399">
        <v>115.5</v>
      </c>
      <c r="C230" s="399">
        <v>2.0000000000000018</v>
      </c>
      <c r="D230" s="399"/>
      <c r="E230" s="399"/>
      <c r="F230" s="399"/>
    </row>
    <row r="231" spans="2:6" x14ac:dyDescent="0.25">
      <c r="B231" s="399">
        <v>116</v>
      </c>
      <c r="C231" s="399">
        <v>2.0000000000000018</v>
      </c>
      <c r="D231" s="399"/>
      <c r="E231" s="399"/>
      <c r="F231" s="399"/>
    </row>
    <row r="232" spans="2:6" x14ac:dyDescent="0.25">
      <c r="B232" s="399">
        <v>116.5</v>
      </c>
      <c r="C232" s="399">
        <v>2.0000000000000018</v>
      </c>
      <c r="D232" s="399"/>
      <c r="E232" s="399"/>
      <c r="F232" s="399"/>
    </row>
    <row r="233" spans="2:6" x14ac:dyDescent="0.25">
      <c r="B233" s="399">
        <v>117</v>
      </c>
      <c r="C233" s="399">
        <v>1.9000000000000017</v>
      </c>
      <c r="D233" s="399"/>
      <c r="E233" s="399"/>
      <c r="F233" s="399"/>
    </row>
    <row r="234" spans="2:6" x14ac:dyDescent="0.25">
      <c r="B234" s="399">
        <v>117.5</v>
      </c>
      <c r="C234" s="399">
        <v>1.9000000000000017</v>
      </c>
      <c r="D234" s="399"/>
      <c r="E234" s="399"/>
      <c r="F234" s="399"/>
    </row>
    <row r="235" spans="2:6" x14ac:dyDescent="0.25">
      <c r="B235" s="399">
        <v>118</v>
      </c>
      <c r="C235" s="399">
        <v>1.9000000000000017</v>
      </c>
      <c r="D235" s="399"/>
      <c r="E235" s="399"/>
      <c r="F235" s="399"/>
    </row>
    <row r="236" spans="2:6" x14ac:dyDescent="0.25">
      <c r="B236" s="399">
        <v>118.5</v>
      </c>
      <c r="C236" s="399">
        <v>1.8000000000000016</v>
      </c>
      <c r="D236" s="399"/>
      <c r="E236" s="399"/>
      <c r="F236" s="399"/>
    </row>
    <row r="237" spans="2:6" x14ac:dyDescent="0.25">
      <c r="B237" s="399">
        <v>119</v>
      </c>
      <c r="C237" s="399">
        <v>1.7000000000000015</v>
      </c>
      <c r="D237" s="399"/>
      <c r="E237" s="399"/>
      <c r="F237" s="399"/>
    </row>
    <row r="238" spans="2:6" x14ac:dyDescent="0.25">
      <c r="B238" s="399">
        <v>119.5</v>
      </c>
      <c r="C238" s="399">
        <v>1.7000000000000015</v>
      </c>
      <c r="D238" s="399"/>
      <c r="E238" s="399"/>
      <c r="F238" s="399"/>
    </row>
    <row r="239" spans="2:6" x14ac:dyDescent="0.25">
      <c r="B239" s="399">
        <v>120</v>
      </c>
      <c r="C239" s="399">
        <v>1.7000000000000015</v>
      </c>
      <c r="D239" s="399"/>
      <c r="E239" s="399"/>
      <c r="F239" s="399"/>
    </row>
    <row r="240" spans="2:6" x14ac:dyDescent="0.25">
      <c r="B240" s="399">
        <v>120.5</v>
      </c>
      <c r="C240" s="399">
        <v>1.6000000000000014</v>
      </c>
      <c r="D240" s="399"/>
      <c r="E240" s="399"/>
      <c r="F240" s="399"/>
    </row>
    <row r="241" spans="2:6" x14ac:dyDescent="0.25">
      <c r="B241" s="399">
        <v>121</v>
      </c>
      <c r="C241" s="399">
        <v>1.5000000000000013</v>
      </c>
      <c r="D241" s="399"/>
      <c r="E241" s="399"/>
      <c r="F241" s="399"/>
    </row>
    <row r="242" spans="2:6" x14ac:dyDescent="0.25">
      <c r="B242" s="399">
        <v>121.5</v>
      </c>
      <c r="C242" s="399">
        <v>1.5000000000000013</v>
      </c>
      <c r="D242" s="399"/>
      <c r="E242" s="399"/>
      <c r="F242" s="399"/>
    </row>
    <row r="243" spans="2:6" x14ac:dyDescent="0.25">
      <c r="B243" s="399">
        <v>122</v>
      </c>
      <c r="C243" s="399">
        <v>1.4000000000000012</v>
      </c>
      <c r="D243" s="399"/>
      <c r="E243" s="399"/>
      <c r="F243" s="399"/>
    </row>
    <row r="244" spans="2:6" x14ac:dyDescent="0.25">
      <c r="B244" s="399">
        <v>122.5</v>
      </c>
      <c r="C244" s="399">
        <v>1.4000000000000012</v>
      </c>
      <c r="D244" s="399"/>
      <c r="E244" s="399"/>
      <c r="F244" s="399"/>
    </row>
    <row r="245" spans="2:6" x14ac:dyDescent="0.25">
      <c r="B245" s="399">
        <v>123</v>
      </c>
      <c r="C245" s="399">
        <v>1.4000000000000012</v>
      </c>
      <c r="D245" s="399"/>
      <c r="E245" s="399"/>
      <c r="F245" s="399"/>
    </row>
    <row r="246" spans="2:6" x14ac:dyDescent="0.25">
      <c r="B246" s="399">
        <v>123.5</v>
      </c>
      <c r="C246" s="399">
        <v>1.3000000000000012</v>
      </c>
      <c r="D246" s="399"/>
      <c r="E246" s="399"/>
      <c r="F246" s="399"/>
    </row>
    <row r="247" spans="2:6" x14ac:dyDescent="0.25">
      <c r="B247" s="399">
        <v>124</v>
      </c>
      <c r="C247" s="399">
        <v>1.3000000000000012</v>
      </c>
      <c r="D247" s="399"/>
      <c r="E247" s="399"/>
      <c r="F247" s="399"/>
    </row>
    <row r="248" spans="2:6" x14ac:dyDescent="0.25">
      <c r="B248" s="399">
        <v>124.5</v>
      </c>
      <c r="C248" s="399">
        <v>1.3000000000000012</v>
      </c>
      <c r="D248" s="399"/>
      <c r="E248" s="399"/>
      <c r="F248" s="399"/>
    </row>
    <row r="249" spans="2:6" x14ac:dyDescent="0.25">
      <c r="B249" s="399">
        <v>125</v>
      </c>
      <c r="C249" s="399">
        <v>1.3000000000000012</v>
      </c>
      <c r="D249" s="399"/>
      <c r="E249" s="399"/>
      <c r="F249" s="399"/>
    </row>
    <row r="250" spans="2:6" x14ac:dyDescent="0.25">
      <c r="B250" s="399">
        <v>125.5</v>
      </c>
      <c r="C250" s="399">
        <v>1.2000000000000011</v>
      </c>
      <c r="D250" s="399"/>
      <c r="E250" s="399"/>
      <c r="F250" s="399"/>
    </row>
    <row r="251" spans="2:6" x14ac:dyDescent="0.25">
      <c r="B251" s="399">
        <v>126</v>
      </c>
      <c r="C251" s="399">
        <v>1.2000000000000011</v>
      </c>
      <c r="D251" s="399"/>
      <c r="E251" s="399"/>
      <c r="F251" s="399"/>
    </row>
    <row r="252" spans="2:6" x14ac:dyDescent="0.25">
      <c r="B252" s="399">
        <v>126.5</v>
      </c>
      <c r="C252" s="399">
        <v>1.100000000000001</v>
      </c>
      <c r="D252" s="399"/>
      <c r="E252" s="399"/>
      <c r="F252" s="399"/>
    </row>
    <row r="253" spans="2:6" x14ac:dyDescent="0.25">
      <c r="B253" s="399">
        <v>127</v>
      </c>
      <c r="C253" s="399">
        <v>1.100000000000001</v>
      </c>
      <c r="D253" s="399"/>
      <c r="E253" s="399"/>
      <c r="F253" s="399"/>
    </row>
    <row r="254" spans="2:6" x14ac:dyDescent="0.25">
      <c r="B254" s="399">
        <v>127.5</v>
      </c>
      <c r="C254" s="399">
        <v>1.100000000000001</v>
      </c>
      <c r="D254" s="399"/>
      <c r="E254" s="399"/>
      <c r="F254" s="399"/>
    </row>
    <row r="255" spans="2:6" x14ac:dyDescent="0.25">
      <c r="B255" s="399">
        <v>128</v>
      </c>
      <c r="C255" s="399">
        <v>1.100000000000001</v>
      </c>
      <c r="D255" s="399"/>
      <c r="E255" s="399"/>
      <c r="F255" s="399"/>
    </row>
    <row r="256" spans="2:6" x14ac:dyDescent="0.25">
      <c r="B256" s="399">
        <v>128.5</v>
      </c>
      <c r="C256" s="399">
        <v>1.100000000000001</v>
      </c>
      <c r="D256" s="399"/>
      <c r="E256" s="399"/>
      <c r="F256" s="399"/>
    </row>
    <row r="257" spans="2:6" x14ac:dyDescent="0.25">
      <c r="B257" s="399">
        <v>129</v>
      </c>
      <c r="C257" s="399">
        <v>1.0000000000000009</v>
      </c>
      <c r="D257" s="399"/>
      <c r="E257" s="399"/>
      <c r="F257" s="399"/>
    </row>
    <row r="258" spans="2:6" x14ac:dyDescent="0.25">
      <c r="B258" s="399">
        <v>129.5</v>
      </c>
      <c r="C258" s="399">
        <v>1.0000000000000009</v>
      </c>
      <c r="D258" s="399"/>
      <c r="E258" s="399"/>
      <c r="F258" s="399"/>
    </row>
    <row r="259" spans="2:6" x14ac:dyDescent="0.25">
      <c r="B259" s="399">
        <v>130</v>
      </c>
      <c r="C259" s="399">
        <v>1.0000000000000009</v>
      </c>
      <c r="D259" s="399"/>
      <c r="E259" s="399"/>
      <c r="F259" s="399"/>
    </row>
    <row r="260" spans="2:6" x14ac:dyDescent="0.25">
      <c r="B260" s="399">
        <v>130.5</v>
      </c>
      <c r="C260" s="399">
        <v>0.9000000000000008</v>
      </c>
      <c r="D260" s="399"/>
      <c r="E260" s="399"/>
      <c r="F260" s="399"/>
    </row>
    <row r="261" spans="2:6" x14ac:dyDescent="0.25">
      <c r="B261" s="399">
        <v>131</v>
      </c>
      <c r="C261" s="399">
        <v>0.9000000000000008</v>
      </c>
      <c r="D261" s="399"/>
      <c r="E261" s="399"/>
      <c r="F261" s="399"/>
    </row>
    <row r="262" spans="2:6" x14ac:dyDescent="0.25">
      <c r="B262" s="399">
        <v>131.5</v>
      </c>
      <c r="C262" s="399">
        <v>0.9000000000000008</v>
      </c>
      <c r="D262" s="399"/>
      <c r="E262" s="399"/>
      <c r="F262" s="399"/>
    </row>
    <row r="263" spans="2:6" x14ac:dyDescent="0.25">
      <c r="B263" s="399">
        <v>132</v>
      </c>
      <c r="C263" s="399">
        <v>0.9000000000000008</v>
      </c>
      <c r="D263" s="399"/>
      <c r="E263" s="399"/>
      <c r="F263" s="399"/>
    </row>
    <row r="264" spans="2:6" x14ac:dyDescent="0.25">
      <c r="B264" s="399">
        <v>132.5</v>
      </c>
      <c r="C264" s="399">
        <v>0.9000000000000008</v>
      </c>
      <c r="D264" s="399"/>
      <c r="E264" s="399"/>
      <c r="F264" s="399"/>
    </row>
    <row r="265" spans="2:6" x14ac:dyDescent="0.25">
      <c r="B265" s="399">
        <v>133</v>
      </c>
      <c r="C265" s="399">
        <v>0.80000000000000071</v>
      </c>
      <c r="D265" s="399"/>
      <c r="E265" s="399"/>
      <c r="F265" s="399"/>
    </row>
    <row r="266" spans="2:6" x14ac:dyDescent="0.25">
      <c r="B266" s="399">
        <v>133.5</v>
      </c>
      <c r="C266" s="399">
        <v>0.80000000000000071</v>
      </c>
      <c r="D266" s="399"/>
      <c r="E266" s="399"/>
      <c r="F266" s="399"/>
    </row>
    <row r="267" spans="2:6" x14ac:dyDescent="0.25">
      <c r="B267" s="399">
        <v>134</v>
      </c>
      <c r="C267" s="399">
        <v>0.80000000000000071</v>
      </c>
      <c r="D267" s="399"/>
      <c r="E267" s="399"/>
      <c r="F267" s="399"/>
    </row>
    <row r="268" spans="2:6" x14ac:dyDescent="0.25">
      <c r="B268" s="399">
        <v>134.5</v>
      </c>
      <c r="C268" s="399">
        <v>0.80000000000000071</v>
      </c>
      <c r="D268" s="399"/>
      <c r="E268" s="399"/>
      <c r="F268" s="399"/>
    </row>
    <row r="269" spans="2:6" x14ac:dyDescent="0.25">
      <c r="B269" s="399">
        <v>135</v>
      </c>
      <c r="C269" s="399">
        <v>0.70000000000000062</v>
      </c>
      <c r="D269" s="399"/>
      <c r="E269" s="399"/>
      <c r="F269" s="399"/>
    </row>
    <row r="270" spans="2:6" x14ac:dyDescent="0.25">
      <c r="B270" s="399">
        <v>135.5</v>
      </c>
      <c r="C270" s="399">
        <v>0.70000000000000062</v>
      </c>
      <c r="D270" s="399"/>
      <c r="E270" s="399"/>
      <c r="F270" s="399"/>
    </row>
    <row r="271" spans="2:6" x14ac:dyDescent="0.25">
      <c r="B271" s="399">
        <v>136</v>
      </c>
      <c r="C271" s="399">
        <v>0.70000000000000062</v>
      </c>
      <c r="D271" s="399"/>
      <c r="E271" s="399"/>
      <c r="F271" s="399"/>
    </row>
    <row r="272" spans="2:6" x14ac:dyDescent="0.25">
      <c r="B272" s="399">
        <v>136.5</v>
      </c>
      <c r="C272" s="399">
        <v>0.70000000000000062</v>
      </c>
      <c r="D272" s="399"/>
      <c r="E272" s="399"/>
      <c r="F272" s="399"/>
    </row>
    <row r="273" spans="1:6" x14ac:dyDescent="0.25">
      <c r="B273" s="399">
        <v>137</v>
      </c>
      <c r="C273" s="399">
        <v>0.60000000000000053</v>
      </c>
      <c r="D273" s="399"/>
      <c r="E273" s="399"/>
      <c r="F273" s="399"/>
    </row>
    <row r="274" spans="1:6" x14ac:dyDescent="0.25">
      <c r="B274" s="399">
        <v>137.5</v>
      </c>
      <c r="C274" s="399">
        <v>0.60000000000000053</v>
      </c>
      <c r="D274" s="399"/>
      <c r="E274" s="399"/>
      <c r="F274" s="399"/>
    </row>
    <row r="275" spans="1:6" x14ac:dyDescent="0.25">
      <c r="B275" s="399">
        <v>138</v>
      </c>
      <c r="C275" s="399">
        <v>0.60000000000000053</v>
      </c>
      <c r="D275" s="399"/>
      <c r="E275" s="399"/>
      <c r="F275" s="399"/>
    </row>
    <row r="276" spans="1:6" x14ac:dyDescent="0.25">
      <c r="B276" s="399">
        <v>138.5</v>
      </c>
      <c r="C276" s="399">
        <v>0.60000000000000053</v>
      </c>
      <c r="D276" s="399"/>
      <c r="E276" s="399"/>
      <c r="F276" s="399"/>
    </row>
    <row r="277" spans="1:6" x14ac:dyDescent="0.25">
      <c r="B277" s="399">
        <v>139</v>
      </c>
      <c r="C277" s="399">
        <v>0.60000000000000053</v>
      </c>
      <c r="D277" s="399"/>
      <c r="E277" s="399"/>
      <c r="F277" s="399"/>
    </row>
    <row r="278" spans="1:6" x14ac:dyDescent="0.25">
      <c r="B278" s="399">
        <v>139.5</v>
      </c>
      <c r="C278" s="399">
        <v>0.60000000000000053</v>
      </c>
      <c r="D278" s="399"/>
      <c r="E278" s="399"/>
      <c r="F278" s="399"/>
    </row>
    <row r="279" spans="1:6" x14ac:dyDescent="0.25">
      <c r="B279" s="399">
        <v>140</v>
      </c>
      <c r="C279" s="399">
        <v>0.60000000000000053</v>
      </c>
      <c r="D279" s="399"/>
      <c r="E279" s="399"/>
      <c r="F279" s="399"/>
    </row>
    <row r="280" spans="1:6" x14ac:dyDescent="0.25">
      <c r="B280" s="396"/>
      <c r="C280" s="396"/>
      <c r="D280" s="396"/>
      <c r="E280" s="396"/>
      <c r="F280" s="396"/>
    </row>
    <row r="282" spans="1:6" ht="152.44999999999999" customHeight="1" x14ac:dyDescent="0.25">
      <c r="A282" s="446" t="s">
        <v>1515</v>
      </c>
      <c r="B282" s="446"/>
      <c r="C282" s="446"/>
      <c r="D282" s="446"/>
      <c r="E282" s="446"/>
      <c r="F282" s="446"/>
    </row>
    <row r="283" spans="1:6" ht="119.45" customHeight="1" x14ac:dyDescent="0.25">
      <c r="A283" s="444" t="s">
        <v>1525</v>
      </c>
      <c r="B283" s="444"/>
      <c r="C283" s="444"/>
      <c r="D283" s="444"/>
      <c r="E283" s="444"/>
      <c r="F283" s="444"/>
    </row>
  </sheetData>
  <mergeCells count="2">
    <mergeCell ref="A282:F282"/>
    <mergeCell ref="A283:F283"/>
  </mergeCells>
  <hyperlinks>
    <hyperlink ref="A4" location="Índice!A1" display="Índice" xr:uid="{1749F056-6228-46F3-BF62-855E03D38763}"/>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CE779-7C53-4A3F-92B7-32EF80F664C7}">
  <sheetPr codeName="Sheet18">
    <tabColor theme="4"/>
  </sheetPr>
  <dimension ref="A5:DR34"/>
  <sheetViews>
    <sheetView showGridLines="0" showRowColHeaders="0" workbookViewId="0">
      <selection activeCell="A22" sqref="A22"/>
    </sheetView>
  </sheetViews>
  <sheetFormatPr defaultRowHeight="15" x14ac:dyDescent="0.25"/>
  <cols>
    <col min="1" max="1" width="61.140625" customWidth="1"/>
    <col min="2" max="2" width="40.42578125" customWidth="1"/>
    <col min="3" max="46" width="9.42578125" bestFit="1" customWidth="1"/>
    <col min="47" max="122" width="9.5703125" bestFit="1" customWidth="1"/>
  </cols>
  <sheetData>
    <row r="5" spans="1:122" ht="36" customHeight="1" x14ac:dyDescent="0.25">
      <c r="A5" s="10" t="s">
        <v>3</v>
      </c>
    </row>
    <row r="6" spans="1:122" ht="18.75" x14ac:dyDescent="0.25">
      <c r="A6" s="6" t="s">
        <v>179</v>
      </c>
    </row>
    <row r="7" spans="1:122" x14ac:dyDescent="0.25">
      <c r="A7" s="78" t="str">
        <f>+Índice!A95</f>
        <v>Parte II. Tema em Destaque: Caraterização dos trabalhadores estrangeiros por conta de outrem em Portugal / Part II Special Issue: Characterization of foreign employees in Portugal</v>
      </c>
    </row>
    <row r="8" spans="1:122" ht="18.75" x14ac:dyDescent="0.25">
      <c r="A8" s="6"/>
    </row>
    <row r="9" spans="1:122" x14ac:dyDescent="0.25">
      <c r="A9" s="7"/>
    </row>
    <row r="10" spans="1:122" x14ac:dyDescent="0.25">
      <c r="A10" t="s">
        <v>183</v>
      </c>
    </row>
    <row r="11" spans="1:122" x14ac:dyDescent="0.25">
      <c r="A11" s="8" t="s">
        <v>191</v>
      </c>
    </row>
    <row r="13" spans="1:122" x14ac:dyDescent="0.25">
      <c r="A13" s="9" t="s">
        <v>2</v>
      </c>
      <c r="B13" s="8" t="s">
        <v>1222</v>
      </c>
    </row>
    <row r="14" spans="1:122" x14ac:dyDescent="0.25">
      <c r="A14" s="9"/>
    </row>
    <row r="15" spans="1:122" x14ac:dyDescent="0.25">
      <c r="A15" s="9" t="s">
        <v>192</v>
      </c>
      <c r="B15" s="8" t="s">
        <v>193</v>
      </c>
      <c r="C15" s="448">
        <v>2014</v>
      </c>
      <c r="D15" s="448"/>
      <c r="E15" s="448"/>
      <c r="F15" s="448"/>
      <c r="G15" s="448"/>
      <c r="H15" s="448"/>
      <c r="I15" s="448"/>
      <c r="J15" s="448"/>
      <c r="K15" s="448"/>
      <c r="L15" s="448"/>
      <c r="M15" s="448"/>
      <c r="N15" s="450"/>
      <c r="O15" s="449">
        <v>2015</v>
      </c>
      <c r="P15" s="448"/>
      <c r="Q15" s="448"/>
      <c r="R15" s="448"/>
      <c r="S15" s="448"/>
      <c r="T15" s="448"/>
      <c r="U15" s="448"/>
      <c r="V15" s="448"/>
      <c r="W15" s="448"/>
      <c r="X15" s="448"/>
      <c r="Y15" s="448"/>
      <c r="Z15" s="450"/>
      <c r="AA15" s="449">
        <v>2016</v>
      </c>
      <c r="AB15" s="448"/>
      <c r="AC15" s="448"/>
      <c r="AD15" s="448"/>
      <c r="AE15" s="448"/>
      <c r="AF15" s="448"/>
      <c r="AG15" s="448"/>
      <c r="AH15" s="448"/>
      <c r="AI15" s="448"/>
      <c r="AJ15" s="448"/>
      <c r="AK15" s="448"/>
      <c r="AL15" s="450"/>
      <c r="AM15" s="449">
        <v>2017</v>
      </c>
      <c r="AN15" s="448"/>
      <c r="AO15" s="448"/>
      <c r="AP15" s="448"/>
      <c r="AQ15" s="448"/>
      <c r="AR15" s="448"/>
      <c r="AS15" s="448"/>
      <c r="AT15" s="448"/>
      <c r="AU15" s="448"/>
      <c r="AV15" s="448"/>
      <c r="AW15" s="448"/>
      <c r="AX15" s="450"/>
      <c r="AY15" s="449">
        <v>2018</v>
      </c>
      <c r="AZ15" s="448"/>
      <c r="BA15" s="448"/>
      <c r="BB15" s="448"/>
      <c r="BC15" s="448"/>
      <c r="BD15" s="448"/>
      <c r="BE15" s="448"/>
      <c r="BF15" s="448"/>
      <c r="BG15" s="448"/>
      <c r="BH15" s="448"/>
      <c r="BI15" s="448"/>
      <c r="BJ15" s="450"/>
      <c r="BK15" s="449">
        <v>2019</v>
      </c>
      <c r="BL15" s="448"/>
      <c r="BM15" s="448"/>
      <c r="BN15" s="448"/>
      <c r="BO15" s="448"/>
      <c r="BP15" s="448"/>
      <c r="BQ15" s="448"/>
      <c r="BR15" s="448"/>
      <c r="BS15" s="448"/>
      <c r="BT15" s="448"/>
      <c r="BU15" s="448"/>
      <c r="BV15" s="450"/>
      <c r="BW15" s="449">
        <v>2020</v>
      </c>
      <c r="BX15" s="448"/>
      <c r="BY15" s="448"/>
      <c r="BZ15" s="448"/>
      <c r="CA15" s="448"/>
      <c r="CB15" s="448"/>
      <c r="CC15" s="448"/>
      <c r="CD15" s="448"/>
      <c r="CE15" s="448"/>
      <c r="CF15" s="448"/>
      <c r="CG15" s="448"/>
      <c r="CH15" s="450"/>
      <c r="CI15" s="449">
        <v>2021</v>
      </c>
      <c r="CJ15" s="448"/>
      <c r="CK15" s="448"/>
      <c r="CL15" s="448"/>
      <c r="CM15" s="448"/>
      <c r="CN15" s="448"/>
      <c r="CO15" s="448"/>
      <c r="CP15" s="448"/>
      <c r="CQ15" s="448"/>
      <c r="CR15" s="448"/>
      <c r="CS15" s="448"/>
      <c r="CT15" s="450"/>
      <c r="CU15" s="449">
        <v>2022</v>
      </c>
      <c r="CV15" s="448"/>
      <c r="CW15" s="448"/>
      <c r="CX15" s="448"/>
      <c r="CY15" s="448"/>
      <c r="CZ15" s="448"/>
      <c r="DA15" s="448"/>
      <c r="DB15" s="448"/>
      <c r="DC15" s="448"/>
      <c r="DD15" s="448"/>
      <c r="DE15" s="448"/>
      <c r="DF15" s="450"/>
      <c r="DG15" s="448">
        <v>2023</v>
      </c>
      <c r="DH15" s="448"/>
      <c r="DI15" s="448"/>
      <c r="DJ15" s="448"/>
      <c r="DK15" s="448"/>
      <c r="DL15" s="448"/>
      <c r="DM15" s="448"/>
      <c r="DN15" s="448"/>
      <c r="DO15" s="448"/>
      <c r="DP15" s="448"/>
      <c r="DQ15" s="448"/>
      <c r="DR15" s="448"/>
    </row>
    <row r="16" spans="1:122" ht="15" customHeight="1" x14ac:dyDescent="0.25">
      <c r="A16" t="s">
        <v>194</v>
      </c>
      <c r="B16" s="8" t="s">
        <v>195</v>
      </c>
      <c r="C16" s="93">
        <v>1</v>
      </c>
      <c r="D16" s="93">
        <v>2</v>
      </c>
      <c r="E16" s="93">
        <v>3</v>
      </c>
      <c r="F16" s="93">
        <v>4</v>
      </c>
      <c r="G16" s="93">
        <v>5</v>
      </c>
      <c r="H16" s="93">
        <v>6</v>
      </c>
      <c r="I16" s="93">
        <v>7</v>
      </c>
      <c r="J16" s="93">
        <v>8</v>
      </c>
      <c r="K16" s="93">
        <v>9</v>
      </c>
      <c r="L16" s="93">
        <v>10</v>
      </c>
      <c r="M16" s="93">
        <v>11</v>
      </c>
      <c r="N16" s="94">
        <v>12</v>
      </c>
      <c r="O16" s="95">
        <v>1</v>
      </c>
      <c r="P16" s="93">
        <v>2</v>
      </c>
      <c r="Q16" s="93">
        <v>3</v>
      </c>
      <c r="R16" s="93">
        <v>4</v>
      </c>
      <c r="S16" s="93">
        <v>5</v>
      </c>
      <c r="T16" s="93">
        <v>6</v>
      </c>
      <c r="U16" s="93">
        <v>7</v>
      </c>
      <c r="V16" s="93">
        <v>8</v>
      </c>
      <c r="W16" s="93">
        <v>9</v>
      </c>
      <c r="X16" s="93">
        <v>10</v>
      </c>
      <c r="Y16" s="93">
        <v>11</v>
      </c>
      <c r="Z16" s="94">
        <v>12</v>
      </c>
      <c r="AA16" s="95">
        <v>1</v>
      </c>
      <c r="AB16" s="93">
        <v>2</v>
      </c>
      <c r="AC16" s="93">
        <v>3</v>
      </c>
      <c r="AD16" s="93">
        <v>4</v>
      </c>
      <c r="AE16" s="93">
        <v>5</v>
      </c>
      <c r="AF16" s="93">
        <v>6</v>
      </c>
      <c r="AG16" s="93">
        <v>7</v>
      </c>
      <c r="AH16" s="93">
        <v>8</v>
      </c>
      <c r="AI16" s="93">
        <v>9</v>
      </c>
      <c r="AJ16" s="93">
        <v>10</v>
      </c>
      <c r="AK16" s="93">
        <v>11</v>
      </c>
      <c r="AL16" s="94">
        <v>12</v>
      </c>
      <c r="AM16" s="95">
        <v>1</v>
      </c>
      <c r="AN16" s="93">
        <v>2</v>
      </c>
      <c r="AO16" s="93">
        <v>3</v>
      </c>
      <c r="AP16" s="93">
        <v>4</v>
      </c>
      <c r="AQ16" s="93">
        <v>5</v>
      </c>
      <c r="AR16" s="93">
        <v>6</v>
      </c>
      <c r="AS16" s="93">
        <v>7</v>
      </c>
      <c r="AT16" s="93">
        <v>8</v>
      </c>
      <c r="AU16" s="93">
        <v>9</v>
      </c>
      <c r="AV16" s="93">
        <v>10</v>
      </c>
      <c r="AW16" s="93">
        <v>11</v>
      </c>
      <c r="AX16" s="94">
        <v>12</v>
      </c>
      <c r="AY16" s="95">
        <v>1</v>
      </c>
      <c r="AZ16" s="93">
        <v>2</v>
      </c>
      <c r="BA16" s="93">
        <v>3</v>
      </c>
      <c r="BB16" s="93">
        <v>4</v>
      </c>
      <c r="BC16" s="93">
        <v>5</v>
      </c>
      <c r="BD16" s="93">
        <v>6</v>
      </c>
      <c r="BE16" s="93">
        <v>7</v>
      </c>
      <c r="BF16" s="93">
        <v>8</v>
      </c>
      <c r="BG16" s="93">
        <v>9</v>
      </c>
      <c r="BH16" s="93">
        <v>10</v>
      </c>
      <c r="BI16" s="93">
        <v>11</v>
      </c>
      <c r="BJ16" s="94">
        <v>12</v>
      </c>
      <c r="BK16" s="95">
        <v>1</v>
      </c>
      <c r="BL16" s="93">
        <v>2</v>
      </c>
      <c r="BM16" s="93">
        <v>3</v>
      </c>
      <c r="BN16" s="93">
        <v>4</v>
      </c>
      <c r="BO16" s="93">
        <v>5</v>
      </c>
      <c r="BP16" s="93">
        <v>6</v>
      </c>
      <c r="BQ16" s="93">
        <v>7</v>
      </c>
      <c r="BR16" s="93">
        <v>8</v>
      </c>
      <c r="BS16" s="93">
        <v>9</v>
      </c>
      <c r="BT16" s="93">
        <v>10</v>
      </c>
      <c r="BU16" s="93">
        <v>11</v>
      </c>
      <c r="BV16" s="94">
        <v>12</v>
      </c>
      <c r="BW16" s="95">
        <v>1</v>
      </c>
      <c r="BX16" s="93">
        <v>2</v>
      </c>
      <c r="BY16" s="93">
        <v>3</v>
      </c>
      <c r="BZ16" s="93">
        <v>4</v>
      </c>
      <c r="CA16" s="93">
        <v>5</v>
      </c>
      <c r="CB16" s="93">
        <v>6</v>
      </c>
      <c r="CC16" s="93">
        <v>7</v>
      </c>
      <c r="CD16" s="93">
        <v>8</v>
      </c>
      <c r="CE16" s="93">
        <v>9</v>
      </c>
      <c r="CF16" s="93">
        <v>10</v>
      </c>
      <c r="CG16" s="93">
        <v>11</v>
      </c>
      <c r="CH16" s="94">
        <v>12</v>
      </c>
      <c r="CI16" s="95">
        <v>1</v>
      </c>
      <c r="CJ16" s="93">
        <v>2</v>
      </c>
      <c r="CK16" s="93">
        <v>3</v>
      </c>
      <c r="CL16" s="93">
        <v>4</v>
      </c>
      <c r="CM16" s="93">
        <v>5</v>
      </c>
      <c r="CN16" s="93">
        <v>6</v>
      </c>
      <c r="CO16" s="93">
        <v>7</v>
      </c>
      <c r="CP16" s="93">
        <v>8</v>
      </c>
      <c r="CQ16" s="93">
        <v>9</v>
      </c>
      <c r="CR16" s="93">
        <v>10</v>
      </c>
      <c r="CS16" s="93">
        <v>11</v>
      </c>
      <c r="CT16" s="94">
        <v>12</v>
      </c>
      <c r="CU16" s="95">
        <v>1</v>
      </c>
      <c r="CV16" s="93">
        <v>2</v>
      </c>
      <c r="CW16" s="93">
        <v>3</v>
      </c>
      <c r="CX16" s="93">
        <v>4</v>
      </c>
      <c r="CY16" s="93">
        <v>5</v>
      </c>
      <c r="CZ16" s="93">
        <v>6</v>
      </c>
      <c r="DA16" s="93">
        <v>7</v>
      </c>
      <c r="DB16" s="93">
        <v>8</v>
      </c>
      <c r="DC16" s="93">
        <v>9</v>
      </c>
      <c r="DD16" s="93">
        <v>10</v>
      </c>
      <c r="DE16" s="93">
        <v>11</v>
      </c>
      <c r="DF16" s="94">
        <v>12</v>
      </c>
      <c r="DG16" s="92">
        <v>1</v>
      </c>
      <c r="DH16" s="92">
        <v>2</v>
      </c>
      <c r="DI16" s="92">
        <v>3</v>
      </c>
      <c r="DJ16" s="92">
        <v>4</v>
      </c>
      <c r="DK16" s="92">
        <v>5</v>
      </c>
      <c r="DL16" s="92">
        <v>6</v>
      </c>
      <c r="DM16" s="92">
        <v>7</v>
      </c>
      <c r="DN16" s="92">
        <v>8</v>
      </c>
      <c r="DO16" s="92">
        <v>9</v>
      </c>
      <c r="DP16" s="92">
        <v>10</v>
      </c>
      <c r="DQ16" s="92">
        <v>11</v>
      </c>
      <c r="DR16" s="92">
        <v>12</v>
      </c>
    </row>
    <row r="17" spans="1:122" ht="15" customHeight="1" x14ac:dyDescent="0.25">
      <c r="A17" t="s">
        <v>196</v>
      </c>
      <c r="B17" s="8" t="s">
        <v>197</v>
      </c>
      <c r="C17" s="96">
        <v>51637</v>
      </c>
      <c r="D17" s="97">
        <v>51500</v>
      </c>
      <c r="E17" s="97">
        <v>52741</v>
      </c>
      <c r="F17" s="97">
        <v>54283</v>
      </c>
      <c r="G17" s="97">
        <v>55518</v>
      </c>
      <c r="H17" s="97">
        <v>56281</v>
      </c>
      <c r="I17" s="97">
        <v>57146</v>
      </c>
      <c r="J17" s="97">
        <v>57249</v>
      </c>
      <c r="K17" s="97">
        <v>57800</v>
      </c>
      <c r="L17" s="97">
        <v>58464</v>
      </c>
      <c r="M17" s="97">
        <v>57896</v>
      </c>
      <c r="N17" s="98">
        <v>56367</v>
      </c>
      <c r="O17" s="99">
        <v>55537</v>
      </c>
      <c r="P17" s="97">
        <v>55869</v>
      </c>
      <c r="Q17" s="97">
        <v>57757</v>
      </c>
      <c r="R17" s="97">
        <v>60311</v>
      </c>
      <c r="S17" s="97">
        <v>62312</v>
      </c>
      <c r="T17" s="97">
        <v>64100</v>
      </c>
      <c r="U17" s="97">
        <v>65530</v>
      </c>
      <c r="V17" s="97">
        <v>66527</v>
      </c>
      <c r="W17" s="97">
        <v>67651</v>
      </c>
      <c r="X17" s="97">
        <v>68555</v>
      </c>
      <c r="Y17" s="97">
        <v>68685</v>
      </c>
      <c r="Z17" s="98">
        <v>68180</v>
      </c>
      <c r="AA17" s="99">
        <v>67711</v>
      </c>
      <c r="AB17" s="97">
        <v>68934</v>
      </c>
      <c r="AC17" s="97">
        <v>72026</v>
      </c>
      <c r="AD17" s="97">
        <v>74222</v>
      </c>
      <c r="AE17" s="97">
        <v>75932</v>
      </c>
      <c r="AF17" s="97">
        <v>77214</v>
      </c>
      <c r="AG17" s="97">
        <v>78527</v>
      </c>
      <c r="AH17" s="97">
        <v>78960</v>
      </c>
      <c r="AI17" s="97">
        <v>79820</v>
      </c>
      <c r="AJ17" s="97">
        <v>80993</v>
      </c>
      <c r="AK17" s="97">
        <v>81136</v>
      </c>
      <c r="AL17" s="98">
        <v>80336</v>
      </c>
      <c r="AM17" s="99">
        <v>80127</v>
      </c>
      <c r="AN17" s="97">
        <v>81351</v>
      </c>
      <c r="AO17" s="97">
        <v>84907</v>
      </c>
      <c r="AP17" s="97">
        <v>88438</v>
      </c>
      <c r="AQ17" s="97">
        <v>91973</v>
      </c>
      <c r="AR17" s="97">
        <v>94729</v>
      </c>
      <c r="AS17" s="97">
        <v>97012</v>
      </c>
      <c r="AT17" s="97">
        <v>98597</v>
      </c>
      <c r="AU17" s="97">
        <v>100650</v>
      </c>
      <c r="AV17" s="97">
        <v>102815</v>
      </c>
      <c r="AW17" s="97">
        <v>104020</v>
      </c>
      <c r="AX17" s="98">
        <v>103433</v>
      </c>
      <c r="AY17" s="99">
        <v>104837</v>
      </c>
      <c r="AZ17" s="97">
        <v>107361</v>
      </c>
      <c r="BA17" s="97">
        <v>112991</v>
      </c>
      <c r="BB17" s="97">
        <v>118489</v>
      </c>
      <c r="BC17" s="97">
        <v>124318</v>
      </c>
      <c r="BD17" s="97">
        <v>130074</v>
      </c>
      <c r="BE17" s="97">
        <v>135711</v>
      </c>
      <c r="BF17" s="97">
        <v>139342</v>
      </c>
      <c r="BG17" s="97">
        <v>143368</v>
      </c>
      <c r="BH17" s="97">
        <v>147551</v>
      </c>
      <c r="BI17" s="97">
        <v>149560</v>
      </c>
      <c r="BJ17" s="98">
        <v>149020</v>
      </c>
      <c r="BK17" s="99">
        <v>151648</v>
      </c>
      <c r="BL17" s="97">
        <v>157055</v>
      </c>
      <c r="BM17" s="97">
        <v>165720</v>
      </c>
      <c r="BN17" s="97">
        <v>176046</v>
      </c>
      <c r="BO17" s="97">
        <v>186280</v>
      </c>
      <c r="BP17" s="97">
        <v>194096</v>
      </c>
      <c r="BQ17" s="97">
        <v>202714</v>
      </c>
      <c r="BR17" s="97">
        <v>208012</v>
      </c>
      <c r="BS17" s="97">
        <v>214569</v>
      </c>
      <c r="BT17" s="97">
        <v>218269</v>
      </c>
      <c r="BU17" s="97">
        <v>219115</v>
      </c>
      <c r="BV17" s="98">
        <v>217585</v>
      </c>
      <c r="BW17" s="99">
        <v>220831</v>
      </c>
      <c r="BX17" s="97">
        <v>228848</v>
      </c>
      <c r="BY17" s="97">
        <v>233112</v>
      </c>
      <c r="BZ17" s="97">
        <v>214462</v>
      </c>
      <c r="CA17" s="97">
        <v>217297</v>
      </c>
      <c r="CB17" s="97">
        <v>224479</v>
      </c>
      <c r="CC17" s="97">
        <v>230481</v>
      </c>
      <c r="CD17" s="97">
        <v>235539</v>
      </c>
      <c r="CE17" s="97">
        <v>239837</v>
      </c>
      <c r="CF17" s="97">
        <v>240249</v>
      </c>
      <c r="CG17" s="97">
        <v>239120</v>
      </c>
      <c r="CH17" s="98">
        <v>233678</v>
      </c>
      <c r="CI17" s="99">
        <v>231682</v>
      </c>
      <c r="CJ17" s="97">
        <v>231250</v>
      </c>
      <c r="CK17" s="97">
        <v>234777</v>
      </c>
      <c r="CL17" s="97">
        <v>240376</v>
      </c>
      <c r="CM17" s="97">
        <v>250678</v>
      </c>
      <c r="CN17" s="97">
        <v>260374</v>
      </c>
      <c r="CO17" s="97">
        <v>266521</v>
      </c>
      <c r="CP17" s="97">
        <v>271077</v>
      </c>
      <c r="CQ17" s="97">
        <v>276643</v>
      </c>
      <c r="CR17" s="97">
        <v>280744</v>
      </c>
      <c r="CS17" s="97">
        <v>284886</v>
      </c>
      <c r="CT17" s="98">
        <v>282899</v>
      </c>
      <c r="CU17" s="99">
        <v>285603</v>
      </c>
      <c r="CV17" s="97">
        <v>294469</v>
      </c>
      <c r="CW17" s="97">
        <v>309547</v>
      </c>
      <c r="CX17" s="97">
        <v>327079</v>
      </c>
      <c r="CY17" s="97">
        <v>350626</v>
      </c>
      <c r="CZ17" s="97">
        <v>369999</v>
      </c>
      <c r="DA17" s="97">
        <v>385678</v>
      </c>
      <c r="DB17" s="97">
        <v>397826</v>
      </c>
      <c r="DC17" s="97">
        <v>410909</v>
      </c>
      <c r="DD17" s="97">
        <v>416684</v>
      </c>
      <c r="DE17" s="97">
        <v>422140</v>
      </c>
      <c r="DF17" s="98">
        <v>416519</v>
      </c>
      <c r="DG17" s="100">
        <v>420690</v>
      </c>
      <c r="DH17" s="100">
        <v>431520</v>
      </c>
      <c r="DI17" s="100">
        <v>450469</v>
      </c>
      <c r="DJ17" s="100">
        <v>469621</v>
      </c>
      <c r="DK17" s="100">
        <v>492536</v>
      </c>
      <c r="DL17" s="100">
        <v>509605</v>
      </c>
      <c r="DM17" s="100">
        <v>523218</v>
      </c>
      <c r="DN17" s="100">
        <v>532614</v>
      </c>
      <c r="DO17" s="100">
        <v>539273</v>
      </c>
      <c r="DP17" s="100">
        <v>538368</v>
      </c>
      <c r="DQ17" s="100">
        <v>530624</v>
      </c>
      <c r="DR17" s="100">
        <v>503786</v>
      </c>
    </row>
    <row r="18" spans="1:122" x14ac:dyDescent="0.25">
      <c r="A18" s="87"/>
      <c r="B18" s="20"/>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row>
    <row r="19" spans="1:122" x14ac:dyDescent="0.25">
      <c r="A19" s="23"/>
      <c r="B19" s="20"/>
      <c r="C19" s="81"/>
      <c r="D19" s="81"/>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0"/>
      <c r="BO19" s="80"/>
      <c r="BP19" s="80"/>
      <c r="BQ19" s="80"/>
      <c r="BR19" s="80"/>
      <c r="BS19" s="80"/>
      <c r="BT19" s="80"/>
      <c r="BU19" s="80"/>
      <c r="BV19" s="80"/>
      <c r="BW19" s="80"/>
      <c r="BX19" s="80"/>
      <c r="BY19" s="80"/>
      <c r="BZ19" s="80"/>
      <c r="CA19" s="80"/>
      <c r="CB19" s="80"/>
      <c r="CC19" s="80"/>
    </row>
    <row r="20" spans="1:122" x14ac:dyDescent="0.25">
      <c r="A20" s="19" t="s">
        <v>1628</v>
      </c>
      <c r="B20" s="19"/>
      <c r="C20" s="19"/>
      <c r="D20" s="19"/>
      <c r="E20" s="19"/>
      <c r="F20" s="19"/>
      <c r="G20" s="19"/>
      <c r="H20" s="19"/>
      <c r="I20" s="19"/>
      <c r="J20" s="19"/>
      <c r="K20" s="16"/>
      <c r="L20" s="16"/>
      <c r="M20" s="16"/>
    </row>
    <row r="21" spans="1:122" x14ac:dyDescent="0.25">
      <c r="A21" s="101" t="s">
        <v>1629</v>
      </c>
      <c r="B21" s="19"/>
      <c r="C21" s="19"/>
      <c r="D21" s="19"/>
      <c r="E21" s="19"/>
      <c r="F21" s="19"/>
      <c r="G21" s="19"/>
      <c r="H21" s="19"/>
      <c r="I21" s="19"/>
      <c r="J21" s="19"/>
      <c r="K21" s="16"/>
      <c r="L21" s="16"/>
      <c r="M21" s="16"/>
    </row>
    <row r="22" spans="1:122" x14ac:dyDescent="0.25">
      <c r="A22" s="28"/>
      <c r="B22" s="25"/>
      <c r="C22" s="19"/>
      <c r="D22" s="19"/>
      <c r="E22" s="19"/>
      <c r="F22" s="19"/>
      <c r="G22" s="19"/>
      <c r="H22" s="19"/>
      <c r="I22" s="19"/>
      <c r="J22" s="19"/>
    </row>
    <row r="23" spans="1:122" x14ac:dyDescent="0.25">
      <c r="A23" s="451"/>
      <c r="B23" s="451"/>
      <c r="C23" s="451"/>
      <c r="D23" s="451"/>
      <c r="E23" s="451"/>
      <c r="F23" s="451"/>
      <c r="G23" s="19"/>
      <c r="H23" s="19"/>
      <c r="I23" s="19"/>
      <c r="J23" s="19"/>
      <c r="K23" s="16"/>
      <c r="L23" s="16"/>
      <c r="M23" s="16"/>
    </row>
    <row r="24" spans="1:122" x14ac:dyDescent="0.25">
      <c r="A24" s="15"/>
      <c r="B24" s="13"/>
      <c r="E24" s="16"/>
      <c r="F24" s="16"/>
      <c r="G24" s="16"/>
      <c r="H24" s="16"/>
      <c r="J24" s="16"/>
      <c r="K24" s="16"/>
      <c r="L24" s="16"/>
      <c r="M24" s="16"/>
    </row>
    <row r="25" spans="1:122" x14ac:dyDescent="0.25">
      <c r="A25" s="11"/>
      <c r="B25" s="12"/>
    </row>
    <row r="26" spans="1:122" x14ac:dyDescent="0.25">
      <c r="A26" s="11"/>
      <c r="B26" s="12"/>
      <c r="E26" s="16"/>
      <c r="F26" s="16"/>
      <c r="G26" s="16"/>
      <c r="H26" s="16"/>
      <c r="J26" s="16"/>
      <c r="K26" s="16"/>
      <c r="L26" s="16"/>
      <c r="M26" s="16"/>
    </row>
    <row r="27" spans="1:122" x14ac:dyDescent="0.25">
      <c r="A27" s="11"/>
      <c r="B27" s="12"/>
      <c r="E27" s="16"/>
      <c r="F27" s="16"/>
      <c r="G27" s="16"/>
      <c r="H27" s="16"/>
      <c r="J27" s="16"/>
      <c r="K27" s="16"/>
      <c r="L27" s="16"/>
      <c r="M27" s="16"/>
    </row>
    <row r="28" spans="1:122" x14ac:dyDescent="0.25">
      <c r="A28" s="11"/>
      <c r="B28" s="12"/>
      <c r="E28" s="16"/>
      <c r="F28" s="16"/>
      <c r="G28" s="16"/>
      <c r="H28" s="16"/>
      <c r="J28" s="16"/>
      <c r="K28" s="16"/>
      <c r="L28" s="16"/>
      <c r="M28" s="16"/>
    </row>
    <row r="29" spans="1:122" x14ac:dyDescent="0.25">
      <c r="A29" s="11"/>
      <c r="B29" s="12"/>
    </row>
    <row r="30" spans="1:122" x14ac:dyDescent="0.25">
      <c r="A30" s="11"/>
      <c r="B30" s="8"/>
      <c r="E30" s="16"/>
      <c r="F30" s="16"/>
      <c r="G30" s="16"/>
      <c r="H30" s="16"/>
      <c r="J30" s="16"/>
      <c r="K30" s="16"/>
      <c r="L30" s="16"/>
      <c r="M30" s="16"/>
    </row>
    <row r="31" spans="1:122" x14ac:dyDescent="0.25">
      <c r="A31" s="11"/>
      <c r="B31" s="12"/>
      <c r="E31" s="16"/>
      <c r="F31" s="16"/>
      <c r="G31" s="16"/>
      <c r="H31" s="16"/>
      <c r="J31" s="16"/>
      <c r="K31" s="16"/>
      <c r="L31" s="16"/>
      <c r="M31" s="16"/>
    </row>
    <row r="34" spans="1:1" x14ac:dyDescent="0.25">
      <c r="A34" s="8"/>
    </row>
  </sheetData>
  <mergeCells count="11">
    <mergeCell ref="A23:F23"/>
    <mergeCell ref="C15:N15"/>
    <mergeCell ref="O15:Z15"/>
    <mergeCell ref="AA15:AL15"/>
    <mergeCell ref="AM15:AX15"/>
    <mergeCell ref="DG15:DR15"/>
    <mergeCell ref="AY15:BJ15"/>
    <mergeCell ref="BK15:BV15"/>
    <mergeCell ref="BW15:CH15"/>
    <mergeCell ref="CI15:CT15"/>
    <mergeCell ref="CU15:DF15"/>
  </mergeCells>
  <hyperlinks>
    <hyperlink ref="A5" location="Índice!A1" display="Índice/Contents" xr:uid="{445D70B7-8AF8-4870-A405-C2F1CD8DB362}"/>
  </hyperlinks>
  <pageMargins left="0.7" right="0.7" top="0.75" bottom="0.75" header="0.3" footer="0.3"/>
  <pageSetup paperSize="9" orientation="portrait" horizontalDpi="1200" verticalDpi="120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B629-1EC6-4BAD-AB1A-B0CB25639797}">
  <sheetPr codeName="Sheet19">
    <tabColor theme="4"/>
  </sheetPr>
  <dimension ref="A5:CC35"/>
  <sheetViews>
    <sheetView showGridLines="0" showRowColHeaders="0" workbookViewId="0">
      <selection activeCell="A29" sqref="A29"/>
    </sheetView>
  </sheetViews>
  <sheetFormatPr defaultRowHeight="15" x14ac:dyDescent="0.25"/>
  <cols>
    <col min="1" max="1" width="61.140625" customWidth="1"/>
    <col min="2" max="2" width="40.42578125" customWidth="1"/>
    <col min="3" max="3" width="24.5703125" bestFit="1" customWidth="1"/>
    <col min="4" max="4" width="25" bestFit="1" customWidth="1"/>
  </cols>
  <sheetData>
    <row r="5" spans="1:10" ht="36" customHeight="1" x14ac:dyDescent="0.25">
      <c r="A5" s="10" t="s">
        <v>3</v>
      </c>
    </row>
    <row r="6" spans="1:10" ht="18.75" x14ac:dyDescent="0.25">
      <c r="A6" s="6" t="s">
        <v>179</v>
      </c>
    </row>
    <row r="7" spans="1:10" x14ac:dyDescent="0.25">
      <c r="A7" s="78" t="str">
        <f>+Índice!A95</f>
        <v>Parte II. Tema em Destaque: Caraterização dos trabalhadores estrangeiros por conta de outrem em Portugal / Part II Special Issue: Characterization of foreign employees in Portugal</v>
      </c>
    </row>
    <row r="8" spans="1:10" ht="18.75" x14ac:dyDescent="0.25">
      <c r="A8" s="6"/>
    </row>
    <row r="9" spans="1:10" x14ac:dyDescent="0.25">
      <c r="A9" s="7"/>
    </row>
    <row r="10" spans="1:10" x14ac:dyDescent="0.25">
      <c r="A10" t="s">
        <v>1611</v>
      </c>
    </row>
    <row r="11" spans="1:10" x14ac:dyDescent="0.25">
      <c r="A11" s="8" t="s">
        <v>1610</v>
      </c>
    </row>
    <row r="12" spans="1:10" x14ac:dyDescent="0.25">
      <c r="A12" s="8"/>
    </row>
    <row r="13" spans="1:10" x14ac:dyDescent="0.25">
      <c r="A13" s="9" t="s">
        <v>2</v>
      </c>
      <c r="C13" s="417" t="s">
        <v>1223</v>
      </c>
      <c r="D13" s="417"/>
    </row>
    <row r="14" spans="1:10" x14ac:dyDescent="0.25">
      <c r="A14" s="8"/>
    </row>
    <row r="15" spans="1:10" x14ac:dyDescent="0.25">
      <c r="C15" s="90" t="s">
        <v>198</v>
      </c>
      <c r="D15" s="90" t="s">
        <v>199</v>
      </c>
    </row>
    <row r="16" spans="1:10" x14ac:dyDescent="0.25">
      <c r="A16" s="9"/>
      <c r="C16" s="119" t="s">
        <v>200</v>
      </c>
      <c r="D16" s="119" t="s">
        <v>201</v>
      </c>
      <c r="E16" s="17"/>
      <c r="F16" s="17"/>
      <c r="G16" s="17"/>
      <c r="H16" s="17"/>
      <c r="I16" s="17"/>
      <c r="J16" s="17"/>
    </row>
    <row r="17" spans="1:81" ht="15" customHeight="1" x14ac:dyDescent="0.25">
      <c r="B17" s="31">
        <v>2014</v>
      </c>
      <c r="C17" s="103">
        <v>285.32841666666667</v>
      </c>
      <c r="D17" s="103">
        <v>24.481666666666669</v>
      </c>
      <c r="E17" s="82"/>
      <c r="F17" s="82"/>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81" ht="15" customHeight="1" x14ac:dyDescent="0.25">
      <c r="B18" s="31">
        <v>2015</v>
      </c>
      <c r="C18" s="103">
        <v>291.07091666666668</v>
      </c>
      <c r="D18" s="103">
        <v>26.957083333333333</v>
      </c>
      <c r="E18" s="18"/>
      <c r="F18" s="18"/>
      <c r="G18" s="18"/>
      <c r="H18" s="18"/>
      <c r="I18" s="18"/>
      <c r="J18" s="18"/>
      <c r="K18" s="79"/>
      <c r="L18" s="79"/>
      <c r="M18" s="79"/>
    </row>
    <row r="19" spans="1:81" x14ac:dyDescent="0.25">
      <c r="A19" s="87"/>
      <c r="B19" s="31">
        <v>2016</v>
      </c>
      <c r="C19" s="103">
        <v>295.42466666666667</v>
      </c>
      <c r="D19" s="103">
        <v>30.43975</v>
      </c>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row>
    <row r="20" spans="1:81" x14ac:dyDescent="0.25">
      <c r="A20" s="23"/>
      <c r="B20" s="31">
        <v>2017</v>
      </c>
      <c r="C20" s="103">
        <v>300.98791666666671</v>
      </c>
      <c r="D20" s="103">
        <v>34.817500000000003</v>
      </c>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0"/>
      <c r="BO20" s="80"/>
      <c r="BP20" s="80"/>
      <c r="BQ20" s="80"/>
      <c r="BR20" s="80"/>
      <c r="BS20" s="80"/>
      <c r="BT20" s="80"/>
      <c r="BU20" s="80"/>
      <c r="BV20" s="80"/>
      <c r="BW20" s="80"/>
      <c r="BX20" s="80"/>
      <c r="BY20" s="80"/>
      <c r="BZ20" s="80"/>
      <c r="CA20" s="80"/>
      <c r="CB20" s="80"/>
      <c r="CC20" s="80"/>
    </row>
    <row r="21" spans="1:81" x14ac:dyDescent="0.25">
      <c r="A21" s="19"/>
      <c r="B21" s="31">
        <v>2018</v>
      </c>
      <c r="C21" s="103">
        <v>305.72666666666669</v>
      </c>
      <c r="D21" s="103">
        <v>42.9465</v>
      </c>
      <c r="E21" s="19"/>
      <c r="F21" s="19"/>
      <c r="G21" s="19"/>
      <c r="H21" s="19"/>
      <c r="I21" s="19"/>
      <c r="J21" s="19"/>
      <c r="K21" s="16"/>
      <c r="L21" s="16"/>
      <c r="M21" s="16"/>
    </row>
    <row r="22" spans="1:81" x14ac:dyDescent="0.25">
      <c r="A22" s="19"/>
      <c r="B22" s="31">
        <v>2019</v>
      </c>
      <c r="C22" s="103">
        <v>309.78191666666669</v>
      </c>
      <c r="D22" s="103">
        <v>54.252666666666663</v>
      </c>
      <c r="E22" s="19"/>
      <c r="F22" s="19"/>
      <c r="G22" s="19"/>
      <c r="H22" s="19"/>
      <c r="I22" s="19"/>
      <c r="J22" s="19"/>
      <c r="K22" s="16"/>
      <c r="L22" s="16"/>
      <c r="M22" s="16"/>
    </row>
    <row r="23" spans="1:81" x14ac:dyDescent="0.25">
      <c r="A23" s="28"/>
      <c r="B23" s="31">
        <v>2020</v>
      </c>
      <c r="C23" s="103">
        <v>304.39875000000001</v>
      </c>
      <c r="D23" s="103">
        <v>59.705583333333337</v>
      </c>
      <c r="E23" s="19"/>
      <c r="F23" s="19"/>
      <c r="G23" s="19"/>
      <c r="H23" s="19"/>
      <c r="I23" s="19"/>
      <c r="J23" s="19"/>
    </row>
    <row r="24" spans="1:81" x14ac:dyDescent="0.25">
      <c r="A24" s="102"/>
      <c r="B24" s="31">
        <v>2021</v>
      </c>
      <c r="C24" s="103">
        <v>306.86708333333331</v>
      </c>
      <c r="D24" s="103">
        <v>62.567166666666665</v>
      </c>
      <c r="E24" s="102"/>
      <c r="F24" s="102"/>
      <c r="G24" s="19"/>
      <c r="H24" s="19"/>
      <c r="I24" s="19"/>
      <c r="J24" s="19"/>
      <c r="K24" s="16"/>
      <c r="L24" s="16"/>
      <c r="M24" s="16"/>
    </row>
    <row r="25" spans="1:81" x14ac:dyDescent="0.25">
      <c r="A25" s="15"/>
      <c r="B25" s="31">
        <v>2022</v>
      </c>
      <c r="C25" s="103">
        <v>315.72250000000003</v>
      </c>
      <c r="D25" s="103">
        <v>74.645750000000007</v>
      </c>
      <c r="E25" s="16"/>
      <c r="F25" s="16"/>
      <c r="G25" s="16"/>
      <c r="H25" s="16"/>
      <c r="J25" s="16"/>
      <c r="K25" s="16"/>
      <c r="L25" s="16"/>
      <c r="M25" s="16"/>
    </row>
    <row r="26" spans="1:81" x14ac:dyDescent="0.25">
      <c r="A26" s="11"/>
      <c r="B26" s="31">
        <v>2023</v>
      </c>
      <c r="C26" s="103">
        <v>317.83766666666668</v>
      </c>
      <c r="D26" s="103">
        <v>90.638750000000002</v>
      </c>
    </row>
    <row r="27" spans="1:81" x14ac:dyDescent="0.25">
      <c r="A27" s="11"/>
      <c r="B27" s="12"/>
      <c r="E27" s="16"/>
      <c r="F27" s="16"/>
      <c r="G27" s="16"/>
      <c r="H27" s="16"/>
      <c r="J27" s="16"/>
      <c r="K27" s="16"/>
      <c r="L27" s="16"/>
      <c r="M27" s="16"/>
    </row>
    <row r="28" spans="1:81" x14ac:dyDescent="0.25">
      <c r="A28" s="28" t="s">
        <v>1630</v>
      </c>
      <c r="B28" s="12"/>
      <c r="E28" s="16"/>
      <c r="F28" s="16"/>
      <c r="G28" s="16"/>
      <c r="H28" s="16"/>
      <c r="J28" s="16"/>
      <c r="K28" s="16"/>
      <c r="L28" s="16"/>
      <c r="M28" s="16"/>
    </row>
    <row r="29" spans="1:81" x14ac:dyDescent="0.25">
      <c r="A29" s="29" t="s">
        <v>1631</v>
      </c>
      <c r="B29" s="12"/>
      <c r="E29" s="16"/>
      <c r="F29" s="16"/>
      <c r="G29" s="16"/>
      <c r="H29" s="16"/>
      <c r="J29" s="16"/>
      <c r="K29" s="16"/>
      <c r="L29" s="16"/>
      <c r="M29" s="16"/>
    </row>
    <row r="30" spans="1:81" x14ac:dyDescent="0.25">
      <c r="A30" s="11"/>
      <c r="B30" s="12"/>
    </row>
    <row r="31" spans="1:81" x14ac:dyDescent="0.25">
      <c r="A31" s="11"/>
      <c r="B31" s="8"/>
      <c r="E31" s="16"/>
      <c r="F31" s="16"/>
      <c r="G31" s="16"/>
      <c r="H31" s="16"/>
      <c r="J31" s="16"/>
      <c r="K31" s="16"/>
      <c r="L31" s="16"/>
      <c r="M31" s="16"/>
    </row>
    <row r="32" spans="1:81" x14ac:dyDescent="0.25">
      <c r="A32" s="11"/>
      <c r="B32" s="12"/>
      <c r="E32" s="16"/>
      <c r="F32" s="16"/>
      <c r="G32" s="16"/>
      <c r="H32" s="16"/>
      <c r="J32" s="16"/>
      <c r="K32" s="16"/>
      <c r="L32" s="16"/>
      <c r="M32" s="16"/>
    </row>
    <row r="35" spans="1:1" x14ac:dyDescent="0.25">
      <c r="A35" s="8"/>
    </row>
  </sheetData>
  <mergeCells count="1">
    <mergeCell ref="C13:D13"/>
  </mergeCells>
  <hyperlinks>
    <hyperlink ref="A5" location="Índice!A1" display="Índice/Contents" xr:uid="{A150E112-9640-427F-8FC3-9D82D0B80F26}"/>
  </hyperlinks>
  <pageMargins left="0.7" right="0.7" top="0.75" bottom="0.75" header="0.3" footer="0.3"/>
  <pageSetup paperSize="9" orientation="portrait" horizontalDpi="1200" verticalDpi="120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2FBE-047C-4932-ACDF-E8AFCAEBBB69}">
  <sheetPr codeName="Sheet20">
    <tabColor theme="4"/>
  </sheetPr>
  <dimension ref="A5:CC29"/>
  <sheetViews>
    <sheetView showGridLines="0" showRowColHeaders="0" workbookViewId="0">
      <selection activeCell="A26" sqref="A26"/>
    </sheetView>
  </sheetViews>
  <sheetFormatPr defaultRowHeight="15" x14ac:dyDescent="0.25"/>
  <cols>
    <col min="1" max="1" width="61.140625" customWidth="1"/>
    <col min="2" max="2" width="38" customWidth="1"/>
    <col min="3" max="3" width="36.5703125" customWidth="1"/>
    <col min="4" max="5" width="24.5703125" customWidth="1"/>
  </cols>
  <sheetData>
    <row r="5" spans="1:81" ht="36" customHeight="1" x14ac:dyDescent="0.25">
      <c r="A5" s="10" t="s">
        <v>3</v>
      </c>
    </row>
    <row r="6" spans="1:81" ht="18.75" x14ac:dyDescent="0.25">
      <c r="A6" s="6" t="s">
        <v>179</v>
      </c>
    </row>
    <row r="7" spans="1:81" x14ac:dyDescent="0.25">
      <c r="A7" s="78" t="str">
        <f>+Índice!A95</f>
        <v>Parte II. Tema em Destaque: Caraterização dos trabalhadores estrangeiros por conta de outrem em Portugal / Part II Special Issue: Characterization of foreign employees in Portugal</v>
      </c>
    </row>
    <row r="8" spans="1:81" ht="18.75" x14ac:dyDescent="0.25">
      <c r="A8" s="6"/>
    </row>
    <row r="9" spans="1:81" x14ac:dyDescent="0.25">
      <c r="A9" s="7"/>
    </row>
    <row r="10" spans="1:81" x14ac:dyDescent="0.25">
      <c r="A10" t="s">
        <v>1612</v>
      </c>
    </row>
    <row r="11" spans="1:81" x14ac:dyDescent="0.25">
      <c r="A11" s="86" t="s">
        <v>1613</v>
      </c>
    </row>
    <row r="13" spans="1:81" x14ac:dyDescent="0.25">
      <c r="A13" s="9" t="s">
        <v>2</v>
      </c>
      <c r="B13" s="17" t="s">
        <v>1224</v>
      </c>
      <c r="C13" s="17" t="s">
        <v>1224</v>
      </c>
      <c r="D13" s="50" t="s">
        <v>4</v>
      </c>
      <c r="E13" s="17"/>
      <c r="F13" s="17"/>
      <c r="G13" s="17"/>
      <c r="H13" s="17"/>
      <c r="I13" s="17"/>
      <c r="J13" s="17"/>
    </row>
    <row r="14" spans="1:81" x14ac:dyDescent="0.25">
      <c r="A14" s="21"/>
      <c r="E14" s="30"/>
      <c r="F14" s="30"/>
      <c r="G14" s="30"/>
      <c r="H14" s="30"/>
      <c r="I14" s="30"/>
      <c r="J14" s="30"/>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row>
    <row r="15" spans="1:81" ht="30" x14ac:dyDescent="0.25">
      <c r="A15" s="21"/>
      <c r="B15" s="112" t="s">
        <v>213</v>
      </c>
      <c r="C15" s="112" t="s">
        <v>214</v>
      </c>
      <c r="D15" s="113" t="s">
        <v>215</v>
      </c>
      <c r="E15" s="30"/>
      <c r="F15" s="30"/>
      <c r="G15" s="30"/>
      <c r="H15" s="30"/>
      <c r="I15" s="30"/>
      <c r="J15" s="30"/>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row>
    <row r="16" spans="1:81" ht="30" x14ac:dyDescent="0.25">
      <c r="A16" s="25"/>
      <c r="B16" s="104" t="s">
        <v>202</v>
      </c>
      <c r="C16" s="104" t="s">
        <v>203</v>
      </c>
      <c r="D16" s="105" t="s">
        <v>204</v>
      </c>
      <c r="E16" s="27"/>
      <c r="F16" s="27"/>
      <c r="G16" s="27"/>
      <c r="H16" s="27"/>
      <c r="I16" s="27"/>
      <c r="J16" s="27"/>
      <c r="K16" s="16"/>
      <c r="L16" s="16"/>
      <c r="M16" s="16"/>
    </row>
    <row r="17" spans="1:13" x14ac:dyDescent="0.25">
      <c r="A17" s="111" t="s">
        <v>212</v>
      </c>
      <c r="B17" s="106" t="s">
        <v>205</v>
      </c>
      <c r="C17" s="107">
        <v>110692.41666666667</v>
      </c>
      <c r="D17" s="103">
        <v>13.805923067760711</v>
      </c>
      <c r="E17" s="19"/>
      <c r="F17" s="19"/>
      <c r="G17" s="19"/>
      <c r="H17" s="19"/>
      <c r="I17" s="19"/>
      <c r="J17" s="19"/>
    </row>
    <row r="18" spans="1:13" x14ac:dyDescent="0.25">
      <c r="A18" s="111" t="s">
        <v>206</v>
      </c>
      <c r="B18" s="106" t="s">
        <v>206</v>
      </c>
      <c r="C18" s="107">
        <v>75721.5</v>
      </c>
      <c r="D18" s="103">
        <v>16.22233064983908</v>
      </c>
      <c r="E18" s="19"/>
      <c r="F18" s="19"/>
      <c r="G18" s="19"/>
      <c r="H18" s="19"/>
      <c r="I18" s="19"/>
      <c r="J18" s="19"/>
      <c r="K18" s="16"/>
      <c r="L18" s="16"/>
      <c r="M18" s="16"/>
    </row>
    <row r="19" spans="1:13" x14ac:dyDescent="0.25">
      <c r="A19" s="111" t="s">
        <v>207</v>
      </c>
      <c r="B19" s="106" t="s">
        <v>207</v>
      </c>
      <c r="C19" s="107">
        <v>62609.25</v>
      </c>
      <c r="D19" s="103">
        <v>15.568250434425119</v>
      </c>
      <c r="E19" s="16"/>
      <c r="F19" s="16"/>
      <c r="G19" s="16"/>
      <c r="H19" s="16"/>
      <c r="J19" s="16"/>
      <c r="K19" s="16"/>
      <c r="L19" s="16"/>
      <c r="M19" s="16"/>
    </row>
    <row r="20" spans="1:13" x14ac:dyDescent="0.25">
      <c r="A20" s="111" t="s">
        <v>208</v>
      </c>
      <c r="B20" s="106" t="s">
        <v>208</v>
      </c>
      <c r="C20" s="107">
        <v>60308.25</v>
      </c>
      <c r="D20" s="103">
        <v>14.763949881247656</v>
      </c>
    </row>
    <row r="21" spans="1:13" x14ac:dyDescent="0.25">
      <c r="A21" s="111" t="s">
        <v>209</v>
      </c>
      <c r="B21" s="106" t="s">
        <v>209</v>
      </c>
      <c r="C21" s="107">
        <v>31481</v>
      </c>
      <c r="D21" s="103">
        <v>14.321436586741717</v>
      </c>
      <c r="E21" s="16"/>
      <c r="F21" s="16"/>
      <c r="G21" s="16"/>
      <c r="H21" s="16"/>
      <c r="J21" s="16"/>
      <c r="K21" s="16"/>
      <c r="L21" s="16"/>
      <c r="M21" s="16"/>
    </row>
    <row r="22" spans="1:13" x14ac:dyDescent="0.25">
      <c r="A22" s="111" t="s">
        <v>211</v>
      </c>
      <c r="B22" s="108" t="s">
        <v>210</v>
      </c>
      <c r="C22" s="109">
        <v>189436.83333333334</v>
      </c>
      <c r="D22" s="110">
        <v>12.479723979869213</v>
      </c>
      <c r="E22" s="16"/>
      <c r="F22" s="16"/>
      <c r="G22" s="16"/>
      <c r="H22" s="16"/>
      <c r="J22" s="16"/>
      <c r="K22" s="16"/>
      <c r="L22" s="16"/>
      <c r="M22" s="16"/>
    </row>
    <row r="23" spans="1:13" x14ac:dyDescent="0.25">
      <c r="A23" s="11"/>
      <c r="B23" s="12"/>
      <c r="E23" s="16"/>
      <c r="F23" s="16"/>
      <c r="G23" s="16"/>
      <c r="H23" s="16"/>
      <c r="J23" s="16"/>
      <c r="K23" s="16"/>
      <c r="L23" s="16"/>
      <c r="M23" s="16"/>
    </row>
    <row r="24" spans="1:13" x14ac:dyDescent="0.25">
      <c r="A24" s="11"/>
      <c r="B24" s="12"/>
    </row>
    <row r="25" spans="1:13" x14ac:dyDescent="0.25">
      <c r="A25" s="28" t="s">
        <v>1632</v>
      </c>
      <c r="B25" s="8"/>
      <c r="E25" s="16"/>
      <c r="F25" s="16"/>
      <c r="G25" s="16"/>
      <c r="H25" s="16"/>
      <c r="J25" s="16"/>
      <c r="K25" s="16"/>
      <c r="L25" s="16"/>
      <c r="M25" s="16"/>
    </row>
    <row r="26" spans="1:13" x14ac:dyDescent="0.25">
      <c r="A26" s="29" t="s">
        <v>216</v>
      </c>
      <c r="B26" s="12"/>
      <c r="E26" s="16"/>
      <c r="F26" s="16"/>
      <c r="G26" s="16"/>
      <c r="H26" s="16"/>
      <c r="J26" s="16"/>
      <c r="K26" s="16"/>
      <c r="L26" s="16"/>
      <c r="M26" s="16"/>
    </row>
    <row r="29" spans="1:13" x14ac:dyDescent="0.25">
      <c r="A29" s="8"/>
    </row>
  </sheetData>
  <phoneticPr fontId="28" type="noConversion"/>
  <hyperlinks>
    <hyperlink ref="A5" location="Índice!A1" display="Índice/Contents" xr:uid="{107A6235-57F9-48C5-B597-D828F8069D53}"/>
  </hyperlinks>
  <pageMargins left="0.7" right="0.7" top="0.75" bottom="0.75" header="0.3" footer="0.3"/>
  <pageSetup paperSize="9" orientation="portrait" horizontalDpi="1200" verticalDpi="1200" r:id="rId1"/>
  <ignoredErrors>
    <ignoredError sqref="A18:B18" twoDigitTextYear="1"/>
  </ignoredError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C6F79-8D78-4179-BA0C-02CEEA2D661D}">
  <sheetPr codeName="Sheet211">
    <tabColor theme="4"/>
  </sheetPr>
  <dimension ref="A5:DS33"/>
  <sheetViews>
    <sheetView showGridLines="0" showRowColHeaders="0" workbookViewId="0">
      <selection activeCell="A27" sqref="A27"/>
    </sheetView>
  </sheetViews>
  <sheetFormatPr defaultRowHeight="15" x14ac:dyDescent="0.25"/>
  <cols>
    <col min="1" max="1" width="61.140625" customWidth="1"/>
    <col min="2" max="3" width="40.42578125" customWidth="1"/>
  </cols>
  <sheetData>
    <row r="5" spans="1:123" ht="36" customHeight="1" x14ac:dyDescent="0.25">
      <c r="A5" s="10" t="s">
        <v>3</v>
      </c>
    </row>
    <row r="6" spans="1:123" ht="18.75" x14ac:dyDescent="0.25">
      <c r="A6" s="6" t="s">
        <v>179</v>
      </c>
    </row>
    <row r="7" spans="1:123" x14ac:dyDescent="0.25">
      <c r="A7" s="78" t="str">
        <f>+Índice!A95</f>
        <v>Parte II. Tema em Destaque: Caraterização dos trabalhadores estrangeiros por conta de outrem em Portugal / Part II Special Issue: Characterization of foreign employees in Portugal</v>
      </c>
    </row>
    <row r="8" spans="1:123" ht="18.75" x14ac:dyDescent="0.25">
      <c r="A8" s="6"/>
    </row>
    <row r="9" spans="1:123" x14ac:dyDescent="0.25">
      <c r="A9" s="7"/>
    </row>
    <row r="10" spans="1:123" x14ac:dyDescent="0.25">
      <c r="A10" t="s">
        <v>184</v>
      </c>
    </row>
    <row r="11" spans="1:123" x14ac:dyDescent="0.25">
      <c r="A11" s="8" t="s">
        <v>217</v>
      </c>
    </row>
    <row r="13" spans="1:123" x14ac:dyDescent="0.25">
      <c r="C13" s="296" t="s">
        <v>2</v>
      </c>
    </row>
    <row r="14" spans="1:123" x14ac:dyDescent="0.25">
      <c r="A14" s="9"/>
    </row>
    <row r="15" spans="1:123" x14ac:dyDescent="0.25">
      <c r="A15" s="89" t="s">
        <v>193</v>
      </c>
      <c r="B15" s="116" t="s">
        <v>192</v>
      </c>
      <c r="C15" s="116"/>
      <c r="D15" s="448">
        <v>2014</v>
      </c>
      <c r="E15" s="448"/>
      <c r="F15" s="448"/>
      <c r="G15" s="448"/>
      <c r="H15" s="448"/>
      <c r="I15" s="448"/>
      <c r="J15" s="448"/>
      <c r="K15" s="448"/>
      <c r="L15" s="448"/>
      <c r="M15" s="448"/>
      <c r="N15" s="448"/>
      <c r="O15" s="450"/>
      <c r="P15" s="448">
        <v>2015</v>
      </c>
      <c r="Q15" s="448"/>
      <c r="R15" s="448"/>
      <c r="S15" s="448"/>
      <c r="T15" s="448"/>
      <c r="U15" s="448"/>
      <c r="V15" s="448"/>
      <c r="W15" s="448"/>
      <c r="X15" s="448"/>
      <c r="Y15" s="448"/>
      <c r="Z15" s="448"/>
      <c r="AA15" s="450"/>
      <c r="AB15" s="448">
        <v>2016</v>
      </c>
      <c r="AC15" s="448"/>
      <c r="AD15" s="448"/>
      <c r="AE15" s="448"/>
      <c r="AF15" s="448"/>
      <c r="AG15" s="448"/>
      <c r="AH15" s="448"/>
      <c r="AI15" s="448"/>
      <c r="AJ15" s="448"/>
      <c r="AK15" s="448"/>
      <c r="AL15" s="448"/>
      <c r="AM15" s="450"/>
      <c r="AN15" s="448">
        <v>2017</v>
      </c>
      <c r="AO15" s="448"/>
      <c r="AP15" s="448"/>
      <c r="AQ15" s="448"/>
      <c r="AR15" s="448"/>
      <c r="AS15" s="448"/>
      <c r="AT15" s="448"/>
      <c r="AU15" s="448"/>
      <c r="AV15" s="448"/>
      <c r="AW15" s="448"/>
      <c r="AX15" s="448"/>
      <c r="AY15" s="450"/>
      <c r="AZ15" s="448">
        <v>2018</v>
      </c>
      <c r="BA15" s="448"/>
      <c r="BB15" s="448"/>
      <c r="BC15" s="448"/>
      <c r="BD15" s="448"/>
      <c r="BE15" s="448"/>
      <c r="BF15" s="448"/>
      <c r="BG15" s="448"/>
      <c r="BH15" s="448"/>
      <c r="BI15" s="448"/>
      <c r="BJ15" s="448"/>
      <c r="BK15" s="450"/>
      <c r="BL15" s="448">
        <v>2019</v>
      </c>
      <c r="BM15" s="448"/>
      <c r="BN15" s="448"/>
      <c r="BO15" s="448"/>
      <c r="BP15" s="448"/>
      <c r="BQ15" s="448"/>
      <c r="BR15" s="448"/>
      <c r="BS15" s="448"/>
      <c r="BT15" s="448"/>
      <c r="BU15" s="448"/>
      <c r="BV15" s="448"/>
      <c r="BW15" s="450"/>
      <c r="BX15" s="448">
        <v>2020</v>
      </c>
      <c r="BY15" s="448"/>
      <c r="BZ15" s="448"/>
      <c r="CA15" s="448"/>
      <c r="CB15" s="448"/>
      <c r="CC15" s="448"/>
      <c r="CD15" s="448"/>
      <c r="CE15" s="448"/>
      <c r="CF15" s="448"/>
      <c r="CG15" s="448"/>
      <c r="CH15" s="448"/>
      <c r="CI15" s="450"/>
      <c r="CJ15" s="448">
        <v>2021</v>
      </c>
      <c r="CK15" s="448"/>
      <c r="CL15" s="448"/>
      <c r="CM15" s="448"/>
      <c r="CN15" s="448"/>
      <c r="CO15" s="448"/>
      <c r="CP15" s="448"/>
      <c r="CQ15" s="448"/>
      <c r="CR15" s="448"/>
      <c r="CS15" s="448"/>
      <c r="CT15" s="448"/>
      <c r="CU15" s="450"/>
      <c r="CV15" s="448">
        <v>2022</v>
      </c>
      <c r="CW15" s="448"/>
      <c r="CX15" s="448"/>
      <c r="CY15" s="448"/>
      <c r="CZ15" s="448"/>
      <c r="DA15" s="448"/>
      <c r="DB15" s="448"/>
      <c r="DC15" s="448"/>
      <c r="DD15" s="448"/>
      <c r="DE15" s="448"/>
      <c r="DF15" s="448"/>
      <c r="DG15" s="450"/>
      <c r="DH15" s="448">
        <v>2023</v>
      </c>
      <c r="DI15" s="448"/>
      <c r="DJ15" s="448"/>
      <c r="DK15" s="448"/>
      <c r="DL15" s="448"/>
      <c r="DM15" s="448"/>
      <c r="DN15" s="448"/>
      <c r="DO15" s="448"/>
      <c r="DP15" s="448"/>
      <c r="DQ15" s="448"/>
      <c r="DR15" s="448"/>
      <c r="DS15" s="448"/>
    </row>
    <row r="16" spans="1:123" ht="15" customHeight="1" x14ac:dyDescent="0.25">
      <c r="A16" s="89" t="s">
        <v>195</v>
      </c>
      <c r="B16" s="117" t="s">
        <v>194</v>
      </c>
      <c r="C16" s="50" t="s">
        <v>1224</v>
      </c>
      <c r="D16" s="93">
        <v>1</v>
      </c>
      <c r="E16" s="93">
        <v>2</v>
      </c>
      <c r="F16" s="93">
        <v>3</v>
      </c>
      <c r="G16" s="93">
        <v>4</v>
      </c>
      <c r="H16" s="93">
        <v>5</v>
      </c>
      <c r="I16" s="93">
        <v>6</v>
      </c>
      <c r="J16" s="93">
        <v>7</v>
      </c>
      <c r="K16" s="93">
        <v>8</v>
      </c>
      <c r="L16" s="93">
        <v>9</v>
      </c>
      <c r="M16" s="93">
        <v>10</v>
      </c>
      <c r="N16" s="93">
        <v>11</v>
      </c>
      <c r="O16" s="94">
        <v>12</v>
      </c>
      <c r="P16" s="93">
        <v>1</v>
      </c>
      <c r="Q16" s="93">
        <v>2</v>
      </c>
      <c r="R16" s="93">
        <v>3</v>
      </c>
      <c r="S16" s="93">
        <v>4</v>
      </c>
      <c r="T16" s="93">
        <v>5</v>
      </c>
      <c r="U16" s="93">
        <v>6</v>
      </c>
      <c r="V16" s="93">
        <v>7</v>
      </c>
      <c r="W16" s="93">
        <v>8</v>
      </c>
      <c r="X16" s="93">
        <v>9</v>
      </c>
      <c r="Y16" s="93">
        <v>10</v>
      </c>
      <c r="Z16" s="93">
        <v>11</v>
      </c>
      <c r="AA16" s="94">
        <v>12</v>
      </c>
      <c r="AB16" s="93">
        <v>1</v>
      </c>
      <c r="AC16" s="93">
        <v>2</v>
      </c>
      <c r="AD16" s="93">
        <v>3</v>
      </c>
      <c r="AE16" s="93">
        <v>4</v>
      </c>
      <c r="AF16" s="93">
        <v>5</v>
      </c>
      <c r="AG16" s="93">
        <v>6</v>
      </c>
      <c r="AH16" s="93">
        <v>7</v>
      </c>
      <c r="AI16" s="93">
        <v>8</v>
      </c>
      <c r="AJ16" s="93">
        <v>9</v>
      </c>
      <c r="AK16" s="93">
        <v>10</v>
      </c>
      <c r="AL16" s="93">
        <v>11</v>
      </c>
      <c r="AM16" s="94">
        <v>12</v>
      </c>
      <c r="AN16" s="93">
        <v>1</v>
      </c>
      <c r="AO16" s="93">
        <v>2</v>
      </c>
      <c r="AP16" s="93">
        <v>3</v>
      </c>
      <c r="AQ16" s="93">
        <v>4</v>
      </c>
      <c r="AR16" s="93">
        <v>5</v>
      </c>
      <c r="AS16" s="93">
        <v>6</v>
      </c>
      <c r="AT16" s="93">
        <v>7</v>
      </c>
      <c r="AU16" s="93">
        <v>8</v>
      </c>
      <c r="AV16" s="93">
        <v>9</v>
      </c>
      <c r="AW16" s="93">
        <v>10</v>
      </c>
      <c r="AX16" s="93">
        <v>11</v>
      </c>
      <c r="AY16" s="94">
        <v>12</v>
      </c>
      <c r="AZ16" s="93">
        <v>1</v>
      </c>
      <c r="BA16" s="93">
        <v>2</v>
      </c>
      <c r="BB16" s="93">
        <v>3</v>
      </c>
      <c r="BC16" s="93">
        <v>4</v>
      </c>
      <c r="BD16" s="93">
        <v>5</v>
      </c>
      <c r="BE16" s="93">
        <v>6</v>
      </c>
      <c r="BF16" s="93">
        <v>7</v>
      </c>
      <c r="BG16" s="93">
        <v>8</v>
      </c>
      <c r="BH16" s="93">
        <v>9</v>
      </c>
      <c r="BI16" s="93">
        <v>10</v>
      </c>
      <c r="BJ16" s="93">
        <v>11</v>
      </c>
      <c r="BK16" s="94">
        <v>12</v>
      </c>
      <c r="BL16" s="93">
        <v>1</v>
      </c>
      <c r="BM16" s="93">
        <v>2</v>
      </c>
      <c r="BN16" s="93">
        <v>3</v>
      </c>
      <c r="BO16" s="93">
        <v>4</v>
      </c>
      <c r="BP16" s="93">
        <v>5</v>
      </c>
      <c r="BQ16" s="93">
        <v>6</v>
      </c>
      <c r="BR16" s="93">
        <v>7</v>
      </c>
      <c r="BS16" s="93">
        <v>8</v>
      </c>
      <c r="BT16" s="93">
        <v>9</v>
      </c>
      <c r="BU16" s="93">
        <v>10</v>
      </c>
      <c r="BV16" s="93">
        <v>11</v>
      </c>
      <c r="BW16" s="94">
        <v>12</v>
      </c>
      <c r="BX16" s="93">
        <v>1</v>
      </c>
      <c r="BY16" s="93">
        <v>2</v>
      </c>
      <c r="BZ16" s="93">
        <v>3</v>
      </c>
      <c r="CA16" s="93">
        <v>4</v>
      </c>
      <c r="CB16" s="93">
        <v>5</v>
      </c>
      <c r="CC16" s="93">
        <v>6</v>
      </c>
      <c r="CD16" s="93">
        <v>7</v>
      </c>
      <c r="CE16" s="93">
        <v>8</v>
      </c>
      <c r="CF16" s="93">
        <v>9</v>
      </c>
      <c r="CG16" s="93">
        <v>10</v>
      </c>
      <c r="CH16" s="93">
        <v>11</v>
      </c>
      <c r="CI16" s="94">
        <v>12</v>
      </c>
      <c r="CJ16" s="93">
        <v>1</v>
      </c>
      <c r="CK16" s="93">
        <v>2</v>
      </c>
      <c r="CL16" s="93">
        <v>3</v>
      </c>
      <c r="CM16" s="93">
        <v>4</v>
      </c>
      <c r="CN16" s="93">
        <v>5</v>
      </c>
      <c r="CO16" s="93">
        <v>6</v>
      </c>
      <c r="CP16" s="93">
        <v>7</v>
      </c>
      <c r="CQ16" s="93">
        <v>8</v>
      </c>
      <c r="CR16" s="93">
        <v>9</v>
      </c>
      <c r="CS16" s="93">
        <v>10</v>
      </c>
      <c r="CT16" s="93">
        <v>11</v>
      </c>
      <c r="CU16" s="94">
        <v>12</v>
      </c>
      <c r="CV16" s="93">
        <v>1</v>
      </c>
      <c r="CW16" s="93">
        <v>2</v>
      </c>
      <c r="CX16" s="93">
        <v>3</v>
      </c>
      <c r="CY16" s="93">
        <v>4</v>
      </c>
      <c r="CZ16" s="93">
        <v>5</v>
      </c>
      <c r="DA16" s="93">
        <v>6</v>
      </c>
      <c r="DB16" s="93">
        <v>7</v>
      </c>
      <c r="DC16" s="93">
        <v>8</v>
      </c>
      <c r="DD16" s="93">
        <v>9</v>
      </c>
      <c r="DE16" s="93">
        <v>10</v>
      </c>
      <c r="DF16" s="93">
        <v>11</v>
      </c>
      <c r="DG16" s="94">
        <v>12</v>
      </c>
      <c r="DH16" s="92">
        <v>1</v>
      </c>
      <c r="DI16" s="92">
        <v>2</v>
      </c>
      <c r="DJ16" s="92">
        <v>3</v>
      </c>
      <c r="DK16" s="92">
        <v>4</v>
      </c>
      <c r="DL16" s="92">
        <v>5</v>
      </c>
      <c r="DM16" s="92">
        <v>6</v>
      </c>
      <c r="DN16" s="92">
        <v>7</v>
      </c>
      <c r="DO16" s="92">
        <v>8</v>
      </c>
      <c r="DP16" s="92">
        <v>9</v>
      </c>
      <c r="DQ16" s="92">
        <v>10</v>
      </c>
      <c r="DR16" s="92">
        <v>11</v>
      </c>
      <c r="DS16" s="92">
        <v>12</v>
      </c>
    </row>
    <row r="17" spans="1:123" x14ac:dyDescent="0.25">
      <c r="A17" s="89" t="s">
        <v>218</v>
      </c>
      <c r="B17" s="117" t="s">
        <v>218</v>
      </c>
      <c r="C17" s="50" t="s">
        <v>1224</v>
      </c>
      <c r="D17" s="120">
        <v>87</v>
      </c>
      <c r="E17" s="120">
        <v>89</v>
      </c>
      <c r="F17" s="120">
        <v>93</v>
      </c>
      <c r="G17" s="120">
        <v>108</v>
      </c>
      <c r="H17" s="120">
        <v>138</v>
      </c>
      <c r="I17" s="120">
        <v>164</v>
      </c>
      <c r="J17" s="120">
        <v>190</v>
      </c>
      <c r="K17" s="120">
        <v>204</v>
      </c>
      <c r="L17" s="120">
        <v>236</v>
      </c>
      <c r="M17" s="120">
        <v>286</v>
      </c>
      <c r="N17" s="120">
        <v>316</v>
      </c>
      <c r="O17" s="121">
        <v>335</v>
      </c>
      <c r="P17" s="120">
        <v>391</v>
      </c>
      <c r="Q17" s="120">
        <v>443</v>
      </c>
      <c r="R17" s="120">
        <v>495</v>
      </c>
      <c r="S17" s="120">
        <v>699</v>
      </c>
      <c r="T17" s="120">
        <v>893</v>
      </c>
      <c r="U17" s="120">
        <v>1070</v>
      </c>
      <c r="V17" s="120">
        <v>1209</v>
      </c>
      <c r="W17" s="120">
        <v>1374</v>
      </c>
      <c r="X17" s="120">
        <v>1585</v>
      </c>
      <c r="Y17" s="120">
        <v>1769</v>
      </c>
      <c r="Z17" s="120">
        <v>2038</v>
      </c>
      <c r="AA17" s="121">
        <v>2269</v>
      </c>
      <c r="AB17" s="120">
        <v>2455</v>
      </c>
      <c r="AC17" s="120">
        <v>2702</v>
      </c>
      <c r="AD17" s="120">
        <v>2838</v>
      </c>
      <c r="AE17" s="120">
        <v>2899</v>
      </c>
      <c r="AF17" s="120">
        <v>2867</v>
      </c>
      <c r="AG17" s="120">
        <v>2784</v>
      </c>
      <c r="AH17" s="120">
        <v>2815</v>
      </c>
      <c r="AI17" s="120">
        <v>2735</v>
      </c>
      <c r="AJ17" s="120">
        <v>2667</v>
      </c>
      <c r="AK17" s="120">
        <v>2601</v>
      </c>
      <c r="AL17" s="120">
        <v>2600</v>
      </c>
      <c r="AM17" s="121">
        <v>2537</v>
      </c>
      <c r="AN17" s="120">
        <v>2386</v>
      </c>
      <c r="AO17" s="120">
        <v>2367</v>
      </c>
      <c r="AP17" s="120">
        <v>2348</v>
      </c>
      <c r="AQ17" s="120">
        <v>2335</v>
      </c>
      <c r="AR17" s="120">
        <v>2356</v>
      </c>
      <c r="AS17" s="120">
        <v>2342</v>
      </c>
      <c r="AT17" s="120">
        <v>2318</v>
      </c>
      <c r="AU17" s="120">
        <v>2358</v>
      </c>
      <c r="AV17" s="120">
        <v>2380</v>
      </c>
      <c r="AW17" s="120">
        <v>2425</v>
      </c>
      <c r="AX17" s="120">
        <v>2406</v>
      </c>
      <c r="AY17" s="121">
        <v>2408</v>
      </c>
      <c r="AZ17" s="120">
        <v>2463</v>
      </c>
      <c r="BA17" s="120">
        <v>2504</v>
      </c>
      <c r="BB17" s="120">
        <v>2592</v>
      </c>
      <c r="BC17" s="120">
        <v>2707</v>
      </c>
      <c r="BD17" s="120">
        <v>2784</v>
      </c>
      <c r="BE17" s="120">
        <v>2856</v>
      </c>
      <c r="BF17" s="120">
        <v>2947</v>
      </c>
      <c r="BG17" s="120">
        <v>3046</v>
      </c>
      <c r="BH17" s="120">
        <v>3170</v>
      </c>
      <c r="BI17" s="120">
        <v>3228</v>
      </c>
      <c r="BJ17" s="120">
        <v>3272</v>
      </c>
      <c r="BK17" s="121">
        <v>3280</v>
      </c>
      <c r="BL17" s="120">
        <v>3232</v>
      </c>
      <c r="BM17" s="120">
        <v>3218</v>
      </c>
      <c r="BN17" s="120">
        <v>3362</v>
      </c>
      <c r="BO17" s="120">
        <v>3746</v>
      </c>
      <c r="BP17" s="120">
        <v>3966</v>
      </c>
      <c r="BQ17" s="120">
        <v>4109</v>
      </c>
      <c r="BR17" s="120">
        <v>4329</v>
      </c>
      <c r="BS17" s="120">
        <v>4495</v>
      </c>
      <c r="BT17" s="120">
        <v>4643</v>
      </c>
      <c r="BU17" s="120">
        <v>4800</v>
      </c>
      <c r="BV17" s="120">
        <v>4888</v>
      </c>
      <c r="BW17" s="121">
        <v>4875</v>
      </c>
      <c r="BX17" s="120">
        <v>5136</v>
      </c>
      <c r="BY17" s="120">
        <v>5471</v>
      </c>
      <c r="BZ17" s="120">
        <v>5669</v>
      </c>
      <c r="CA17" s="120">
        <v>5192</v>
      </c>
      <c r="CB17" s="120">
        <v>5484</v>
      </c>
      <c r="CC17" s="120">
        <v>5956</v>
      </c>
      <c r="CD17" s="120">
        <v>6185</v>
      </c>
      <c r="CE17" s="120">
        <v>6751</v>
      </c>
      <c r="CF17" s="120">
        <v>7206</v>
      </c>
      <c r="CG17" s="120">
        <v>7474</v>
      </c>
      <c r="CH17" s="120">
        <v>7644</v>
      </c>
      <c r="CI17" s="121">
        <v>7390</v>
      </c>
      <c r="CJ17" s="120">
        <v>7401</v>
      </c>
      <c r="CK17" s="120">
        <v>7370</v>
      </c>
      <c r="CL17" s="120">
        <v>7635</v>
      </c>
      <c r="CM17" s="120">
        <v>7828</v>
      </c>
      <c r="CN17" s="120">
        <v>8220</v>
      </c>
      <c r="CO17" s="120">
        <v>8580</v>
      </c>
      <c r="CP17" s="120">
        <v>9037</v>
      </c>
      <c r="CQ17" s="120">
        <v>9339</v>
      </c>
      <c r="CR17" s="120">
        <v>9829</v>
      </c>
      <c r="CS17" s="120">
        <v>10212</v>
      </c>
      <c r="CT17" s="120">
        <v>10833</v>
      </c>
      <c r="CU17" s="121">
        <v>11189</v>
      </c>
      <c r="CV17" s="120">
        <v>11271</v>
      </c>
      <c r="CW17" s="120">
        <v>11520</v>
      </c>
      <c r="CX17" s="120">
        <v>11996</v>
      </c>
      <c r="CY17" s="120">
        <v>12474</v>
      </c>
      <c r="CZ17" s="120">
        <v>13898</v>
      </c>
      <c r="DA17" s="120">
        <v>14358</v>
      </c>
      <c r="DB17" s="120">
        <v>14680</v>
      </c>
      <c r="DC17" s="120">
        <v>15096</v>
      </c>
      <c r="DD17" s="120">
        <v>15564</v>
      </c>
      <c r="DE17" s="120">
        <v>15608</v>
      </c>
      <c r="DF17" s="120">
        <v>15898</v>
      </c>
      <c r="DG17" s="121">
        <v>15742</v>
      </c>
      <c r="DH17" s="115">
        <v>15252</v>
      </c>
      <c r="DI17" s="115">
        <v>15391</v>
      </c>
      <c r="DJ17" s="115">
        <v>15958</v>
      </c>
      <c r="DK17" s="115">
        <v>16872</v>
      </c>
      <c r="DL17" s="115">
        <v>18028</v>
      </c>
      <c r="DM17" s="115">
        <v>19062</v>
      </c>
      <c r="DN17" s="115">
        <v>20016</v>
      </c>
      <c r="DO17" s="115">
        <v>21024</v>
      </c>
      <c r="DP17" s="115">
        <v>21562</v>
      </c>
      <c r="DQ17" s="115">
        <v>21614</v>
      </c>
      <c r="DR17" s="115">
        <v>21205</v>
      </c>
      <c r="DS17" s="115">
        <v>19296</v>
      </c>
    </row>
    <row r="18" spans="1:123" x14ac:dyDescent="0.25">
      <c r="A18" s="89" t="s">
        <v>224</v>
      </c>
      <c r="B18" s="118" t="s">
        <v>222</v>
      </c>
      <c r="C18" s="50" t="s">
        <v>1224</v>
      </c>
      <c r="D18" s="120">
        <v>9553</v>
      </c>
      <c r="E18" s="120">
        <v>9495</v>
      </c>
      <c r="F18" s="120">
        <v>9594</v>
      </c>
      <c r="G18" s="120">
        <v>9709</v>
      </c>
      <c r="H18" s="120">
        <v>9865</v>
      </c>
      <c r="I18" s="120">
        <v>9944</v>
      </c>
      <c r="J18" s="120">
        <v>10175</v>
      </c>
      <c r="K18" s="120">
        <v>10261</v>
      </c>
      <c r="L18" s="120">
        <v>10319</v>
      </c>
      <c r="M18" s="120">
        <v>10219</v>
      </c>
      <c r="N18" s="120">
        <v>9959</v>
      </c>
      <c r="O18" s="121">
        <v>9692</v>
      </c>
      <c r="P18" s="120">
        <v>9634</v>
      </c>
      <c r="Q18" s="120">
        <v>9665</v>
      </c>
      <c r="R18" s="120">
        <v>9915</v>
      </c>
      <c r="S18" s="120">
        <v>10192</v>
      </c>
      <c r="T18" s="120">
        <v>10467</v>
      </c>
      <c r="U18" s="120">
        <v>10796</v>
      </c>
      <c r="V18" s="120">
        <v>11097</v>
      </c>
      <c r="W18" s="120">
        <v>11387</v>
      </c>
      <c r="X18" s="120">
        <v>11570</v>
      </c>
      <c r="Y18" s="120">
        <v>11596</v>
      </c>
      <c r="Z18" s="120">
        <v>11484</v>
      </c>
      <c r="AA18" s="121">
        <v>11355</v>
      </c>
      <c r="AB18" s="120">
        <v>11455</v>
      </c>
      <c r="AC18" s="120">
        <v>11750</v>
      </c>
      <c r="AD18" s="120">
        <v>12149</v>
      </c>
      <c r="AE18" s="120">
        <v>12542</v>
      </c>
      <c r="AF18" s="120">
        <v>12965</v>
      </c>
      <c r="AG18" s="120">
        <v>13400</v>
      </c>
      <c r="AH18" s="120">
        <v>13954</v>
      </c>
      <c r="AI18" s="120">
        <v>14166</v>
      </c>
      <c r="AJ18" s="120">
        <v>14491</v>
      </c>
      <c r="AK18" s="120">
        <v>14712</v>
      </c>
      <c r="AL18" s="120">
        <v>14891</v>
      </c>
      <c r="AM18" s="121">
        <v>14995</v>
      </c>
      <c r="AN18" s="120">
        <v>15393</v>
      </c>
      <c r="AO18" s="120">
        <v>15842</v>
      </c>
      <c r="AP18" s="120">
        <v>16715</v>
      </c>
      <c r="AQ18" s="120">
        <v>17768</v>
      </c>
      <c r="AR18" s="120">
        <v>18865</v>
      </c>
      <c r="AS18" s="120">
        <v>19908</v>
      </c>
      <c r="AT18" s="120">
        <v>20959</v>
      </c>
      <c r="AU18" s="120">
        <v>21840</v>
      </c>
      <c r="AV18" s="120">
        <v>22833</v>
      </c>
      <c r="AW18" s="120">
        <v>23654</v>
      </c>
      <c r="AX18" s="120">
        <v>24499</v>
      </c>
      <c r="AY18" s="121">
        <v>24771</v>
      </c>
      <c r="AZ18" s="120">
        <v>25793</v>
      </c>
      <c r="BA18" s="120">
        <v>27049</v>
      </c>
      <c r="BB18" s="120">
        <v>29076</v>
      </c>
      <c r="BC18" s="120">
        <v>31075</v>
      </c>
      <c r="BD18" s="120">
        <v>33416</v>
      </c>
      <c r="BE18" s="120">
        <v>36080</v>
      </c>
      <c r="BF18" s="120">
        <v>38941</v>
      </c>
      <c r="BG18" s="120">
        <v>41255</v>
      </c>
      <c r="BH18" s="120">
        <v>43348</v>
      </c>
      <c r="BI18" s="120">
        <v>45424</v>
      </c>
      <c r="BJ18" s="120">
        <v>46822</v>
      </c>
      <c r="BK18" s="121">
        <v>47321</v>
      </c>
      <c r="BL18" s="120">
        <v>49575</v>
      </c>
      <c r="BM18" s="120">
        <v>52672</v>
      </c>
      <c r="BN18" s="120">
        <v>56342</v>
      </c>
      <c r="BO18" s="120">
        <v>60694</v>
      </c>
      <c r="BP18" s="120">
        <v>65267</v>
      </c>
      <c r="BQ18" s="120">
        <v>69420</v>
      </c>
      <c r="BR18" s="120">
        <v>73763</v>
      </c>
      <c r="BS18" s="120">
        <v>76180</v>
      </c>
      <c r="BT18" s="120">
        <v>79387</v>
      </c>
      <c r="BU18" s="120">
        <v>81252</v>
      </c>
      <c r="BV18" s="120">
        <v>81993</v>
      </c>
      <c r="BW18" s="121">
        <v>81825</v>
      </c>
      <c r="BX18" s="120">
        <v>84190</v>
      </c>
      <c r="BY18" s="120">
        <v>88297</v>
      </c>
      <c r="BZ18" s="120">
        <v>90348</v>
      </c>
      <c r="CA18" s="120">
        <v>81485</v>
      </c>
      <c r="CB18" s="120">
        <v>81403</v>
      </c>
      <c r="CC18" s="120">
        <v>84504</v>
      </c>
      <c r="CD18" s="120">
        <v>87401</v>
      </c>
      <c r="CE18" s="120">
        <v>88453</v>
      </c>
      <c r="CF18" s="120">
        <v>89713</v>
      </c>
      <c r="CG18" s="120">
        <v>89016</v>
      </c>
      <c r="CH18" s="120">
        <v>88108</v>
      </c>
      <c r="CI18" s="121">
        <v>85701</v>
      </c>
      <c r="CJ18" s="120">
        <v>85085</v>
      </c>
      <c r="CK18" s="120">
        <v>84500</v>
      </c>
      <c r="CL18" s="120">
        <v>84714</v>
      </c>
      <c r="CM18" s="120">
        <v>85702</v>
      </c>
      <c r="CN18" s="120">
        <v>89049</v>
      </c>
      <c r="CO18" s="120">
        <v>92272</v>
      </c>
      <c r="CP18" s="120">
        <v>93881</v>
      </c>
      <c r="CQ18" s="120">
        <v>94886</v>
      </c>
      <c r="CR18" s="120">
        <v>96682</v>
      </c>
      <c r="CS18" s="120">
        <v>98547</v>
      </c>
      <c r="CT18" s="120">
        <v>101408</v>
      </c>
      <c r="CU18" s="121">
        <v>101878</v>
      </c>
      <c r="CV18" s="120">
        <v>104948</v>
      </c>
      <c r="CW18" s="120">
        <v>110200</v>
      </c>
      <c r="CX18" s="120">
        <v>117589</v>
      </c>
      <c r="CY18" s="120">
        <v>125284</v>
      </c>
      <c r="CZ18" s="120">
        <v>136663</v>
      </c>
      <c r="DA18" s="120">
        <v>147223</v>
      </c>
      <c r="DB18" s="120">
        <v>156458</v>
      </c>
      <c r="DC18" s="120">
        <v>163050</v>
      </c>
      <c r="DD18" s="120">
        <v>169894</v>
      </c>
      <c r="DE18" s="120">
        <v>173064</v>
      </c>
      <c r="DF18" s="120">
        <v>176971</v>
      </c>
      <c r="DG18" s="121">
        <v>176219</v>
      </c>
      <c r="DH18" s="115">
        <v>180377</v>
      </c>
      <c r="DI18" s="115">
        <v>186311</v>
      </c>
      <c r="DJ18" s="115">
        <v>194367</v>
      </c>
      <c r="DK18" s="115">
        <v>200400</v>
      </c>
      <c r="DL18" s="115">
        <v>209159</v>
      </c>
      <c r="DM18" s="115">
        <v>215683</v>
      </c>
      <c r="DN18" s="115">
        <v>220784</v>
      </c>
      <c r="DO18" s="115">
        <v>222628</v>
      </c>
      <c r="DP18" s="115">
        <v>225043</v>
      </c>
      <c r="DQ18" s="115">
        <v>224348</v>
      </c>
      <c r="DR18" s="115">
        <v>222123</v>
      </c>
      <c r="DS18" s="115">
        <v>212054</v>
      </c>
    </row>
    <row r="19" spans="1:123" x14ac:dyDescent="0.25">
      <c r="A19" s="89" t="s">
        <v>225</v>
      </c>
      <c r="B19" s="117" t="s">
        <v>219</v>
      </c>
      <c r="C19" s="50" t="s">
        <v>1224</v>
      </c>
      <c r="D19" s="120">
        <v>2712</v>
      </c>
      <c r="E19" s="120">
        <v>2734</v>
      </c>
      <c r="F19" s="120">
        <v>2801</v>
      </c>
      <c r="G19" s="120">
        <v>2856</v>
      </c>
      <c r="H19" s="120">
        <v>2936</v>
      </c>
      <c r="I19" s="120">
        <v>3011</v>
      </c>
      <c r="J19" s="120">
        <v>3162</v>
      </c>
      <c r="K19" s="120">
        <v>3203</v>
      </c>
      <c r="L19" s="120">
        <v>3262</v>
      </c>
      <c r="M19" s="120">
        <v>3234</v>
      </c>
      <c r="N19" s="120">
        <v>3151</v>
      </c>
      <c r="O19" s="121">
        <v>3141</v>
      </c>
      <c r="P19" s="120">
        <v>3083</v>
      </c>
      <c r="Q19" s="120">
        <v>3164</v>
      </c>
      <c r="R19" s="120">
        <v>3269</v>
      </c>
      <c r="S19" s="120">
        <v>3337</v>
      </c>
      <c r="T19" s="120">
        <v>3456</v>
      </c>
      <c r="U19" s="120">
        <v>3628</v>
      </c>
      <c r="V19" s="120">
        <v>3771</v>
      </c>
      <c r="W19" s="120">
        <v>3869</v>
      </c>
      <c r="X19" s="120">
        <v>3886</v>
      </c>
      <c r="Y19" s="120">
        <v>3904</v>
      </c>
      <c r="Z19" s="120">
        <v>3854</v>
      </c>
      <c r="AA19" s="121">
        <v>3835</v>
      </c>
      <c r="AB19" s="120">
        <v>3821</v>
      </c>
      <c r="AC19" s="120">
        <v>3912</v>
      </c>
      <c r="AD19" s="120">
        <v>4062</v>
      </c>
      <c r="AE19" s="120">
        <v>4115</v>
      </c>
      <c r="AF19" s="120">
        <v>4225</v>
      </c>
      <c r="AG19" s="120">
        <v>4322</v>
      </c>
      <c r="AH19" s="120">
        <v>4480</v>
      </c>
      <c r="AI19" s="120">
        <v>4555</v>
      </c>
      <c r="AJ19" s="120">
        <v>4608</v>
      </c>
      <c r="AK19" s="120">
        <v>4625</v>
      </c>
      <c r="AL19" s="120">
        <v>4651</v>
      </c>
      <c r="AM19" s="121">
        <v>4609</v>
      </c>
      <c r="AN19" s="120">
        <v>4638</v>
      </c>
      <c r="AO19" s="120">
        <v>4736</v>
      </c>
      <c r="AP19" s="120">
        <v>4902</v>
      </c>
      <c r="AQ19" s="120">
        <v>5043</v>
      </c>
      <c r="AR19" s="120">
        <v>5203</v>
      </c>
      <c r="AS19" s="120">
        <v>5357</v>
      </c>
      <c r="AT19" s="120">
        <v>5503</v>
      </c>
      <c r="AU19" s="120">
        <v>5593</v>
      </c>
      <c r="AV19" s="120">
        <v>5704</v>
      </c>
      <c r="AW19" s="120">
        <v>5787</v>
      </c>
      <c r="AX19" s="120">
        <v>5836</v>
      </c>
      <c r="AY19" s="121">
        <v>5829</v>
      </c>
      <c r="AZ19" s="120">
        <v>5909</v>
      </c>
      <c r="BA19" s="120">
        <v>6071</v>
      </c>
      <c r="BB19" s="120">
        <v>6269</v>
      </c>
      <c r="BC19" s="120">
        <v>6438</v>
      </c>
      <c r="BD19" s="120">
        <v>6760</v>
      </c>
      <c r="BE19" s="120">
        <v>6995</v>
      </c>
      <c r="BF19" s="120">
        <v>7242</v>
      </c>
      <c r="BG19" s="120">
        <v>7355</v>
      </c>
      <c r="BH19" s="120">
        <v>7441</v>
      </c>
      <c r="BI19" s="120">
        <v>7569</v>
      </c>
      <c r="BJ19" s="120">
        <v>7630</v>
      </c>
      <c r="BK19" s="121">
        <v>7612</v>
      </c>
      <c r="BL19" s="120">
        <v>7758</v>
      </c>
      <c r="BM19" s="120">
        <v>7955</v>
      </c>
      <c r="BN19" s="120">
        <v>8293</v>
      </c>
      <c r="BO19" s="120">
        <v>8663</v>
      </c>
      <c r="BP19" s="120">
        <v>8929</v>
      </c>
      <c r="BQ19" s="120">
        <v>9195</v>
      </c>
      <c r="BR19" s="120">
        <v>9600</v>
      </c>
      <c r="BS19" s="120">
        <v>9794</v>
      </c>
      <c r="BT19" s="120">
        <v>9991</v>
      </c>
      <c r="BU19" s="120">
        <v>10063</v>
      </c>
      <c r="BV19" s="120">
        <v>10130</v>
      </c>
      <c r="BW19" s="121">
        <v>10122</v>
      </c>
      <c r="BX19" s="120">
        <v>10369</v>
      </c>
      <c r="BY19" s="120">
        <v>10679</v>
      </c>
      <c r="BZ19" s="120">
        <v>10824</v>
      </c>
      <c r="CA19" s="120">
        <v>9888</v>
      </c>
      <c r="CB19" s="120">
        <v>9917</v>
      </c>
      <c r="CC19" s="120">
        <v>10148</v>
      </c>
      <c r="CD19" s="120">
        <v>10349</v>
      </c>
      <c r="CE19" s="120">
        <v>10585</v>
      </c>
      <c r="CF19" s="120">
        <v>10713</v>
      </c>
      <c r="CG19" s="120">
        <v>10685</v>
      </c>
      <c r="CH19" s="120">
        <v>10720</v>
      </c>
      <c r="CI19" s="121">
        <v>10561</v>
      </c>
      <c r="CJ19" s="120">
        <v>10600</v>
      </c>
      <c r="CK19" s="120">
        <v>10661</v>
      </c>
      <c r="CL19" s="120">
        <v>10879</v>
      </c>
      <c r="CM19" s="120">
        <v>11105</v>
      </c>
      <c r="CN19" s="120">
        <v>11628</v>
      </c>
      <c r="CO19" s="120">
        <v>12090</v>
      </c>
      <c r="CP19" s="120">
        <v>12631</v>
      </c>
      <c r="CQ19" s="120">
        <v>12948</v>
      </c>
      <c r="CR19" s="120">
        <v>13221</v>
      </c>
      <c r="CS19" s="120">
        <v>13437</v>
      </c>
      <c r="CT19" s="120">
        <v>13612</v>
      </c>
      <c r="CU19" s="121">
        <v>13489</v>
      </c>
      <c r="CV19" s="120">
        <v>13609</v>
      </c>
      <c r="CW19" s="120">
        <v>14094</v>
      </c>
      <c r="CX19" s="120">
        <v>14648</v>
      </c>
      <c r="CY19" s="120">
        <v>15028</v>
      </c>
      <c r="CZ19" s="120">
        <v>15603</v>
      </c>
      <c r="DA19" s="120">
        <v>16234</v>
      </c>
      <c r="DB19" s="120">
        <v>16930</v>
      </c>
      <c r="DC19" s="120">
        <v>17355</v>
      </c>
      <c r="DD19" s="120">
        <v>17780</v>
      </c>
      <c r="DE19" s="120">
        <v>18029</v>
      </c>
      <c r="DF19" s="120">
        <v>18287</v>
      </c>
      <c r="DG19" s="121">
        <v>18299</v>
      </c>
      <c r="DH19" s="115">
        <v>18663</v>
      </c>
      <c r="DI19" s="115">
        <v>19202</v>
      </c>
      <c r="DJ19" s="115">
        <v>20016</v>
      </c>
      <c r="DK19" s="115">
        <v>20755</v>
      </c>
      <c r="DL19" s="115">
        <v>21818</v>
      </c>
      <c r="DM19" s="115">
        <v>22597</v>
      </c>
      <c r="DN19" s="115">
        <v>23689</v>
      </c>
      <c r="DO19" s="115">
        <v>24399</v>
      </c>
      <c r="DP19" s="115">
        <v>25256</v>
      </c>
      <c r="DQ19" s="115">
        <v>25634</v>
      </c>
      <c r="DR19" s="115">
        <v>25652</v>
      </c>
      <c r="DS19" s="115">
        <v>24791</v>
      </c>
    </row>
    <row r="20" spans="1:123" x14ac:dyDescent="0.25">
      <c r="A20" s="89" t="s">
        <v>223</v>
      </c>
      <c r="B20" s="118" t="s">
        <v>220</v>
      </c>
      <c r="C20" s="50" t="s">
        <v>1224</v>
      </c>
      <c r="D20" s="120">
        <v>319</v>
      </c>
      <c r="E20" s="120">
        <v>330</v>
      </c>
      <c r="F20" s="120">
        <v>336</v>
      </c>
      <c r="G20" s="120">
        <v>387</v>
      </c>
      <c r="H20" s="120">
        <v>414</v>
      </c>
      <c r="I20" s="120">
        <v>445</v>
      </c>
      <c r="J20" s="120">
        <v>489</v>
      </c>
      <c r="K20" s="120">
        <v>525</v>
      </c>
      <c r="L20" s="120">
        <v>569</v>
      </c>
      <c r="M20" s="120">
        <v>620</v>
      </c>
      <c r="N20" s="120">
        <v>634</v>
      </c>
      <c r="O20" s="121">
        <v>662</v>
      </c>
      <c r="P20" s="120">
        <v>710</v>
      </c>
      <c r="Q20" s="120">
        <v>749</v>
      </c>
      <c r="R20" s="120">
        <v>836</v>
      </c>
      <c r="S20" s="120">
        <v>970</v>
      </c>
      <c r="T20" s="120">
        <v>1124</v>
      </c>
      <c r="U20" s="120">
        <v>1263</v>
      </c>
      <c r="V20" s="120">
        <v>1333</v>
      </c>
      <c r="W20" s="120">
        <v>1466</v>
      </c>
      <c r="X20" s="120">
        <v>1627</v>
      </c>
      <c r="Y20" s="120">
        <v>1746</v>
      </c>
      <c r="Z20" s="120">
        <v>1896</v>
      </c>
      <c r="AA20" s="121">
        <v>1941</v>
      </c>
      <c r="AB20" s="120">
        <v>2035</v>
      </c>
      <c r="AC20" s="120">
        <v>2128</v>
      </c>
      <c r="AD20" s="120">
        <v>2311</v>
      </c>
      <c r="AE20" s="120">
        <v>2490</v>
      </c>
      <c r="AF20" s="120">
        <v>2605</v>
      </c>
      <c r="AG20" s="120">
        <v>2613</v>
      </c>
      <c r="AH20" s="120">
        <v>2711</v>
      </c>
      <c r="AI20" s="120">
        <v>2712</v>
      </c>
      <c r="AJ20" s="120">
        <v>2745</v>
      </c>
      <c r="AK20" s="120">
        <v>2853</v>
      </c>
      <c r="AL20" s="120">
        <v>2919</v>
      </c>
      <c r="AM20" s="121">
        <v>2932</v>
      </c>
      <c r="AN20" s="120">
        <v>2876</v>
      </c>
      <c r="AO20" s="120">
        <v>2921</v>
      </c>
      <c r="AP20" s="120">
        <v>3098</v>
      </c>
      <c r="AQ20" s="120">
        <v>3349</v>
      </c>
      <c r="AR20" s="120">
        <v>3529</v>
      </c>
      <c r="AS20" s="120">
        <v>3672</v>
      </c>
      <c r="AT20" s="120">
        <v>3744</v>
      </c>
      <c r="AU20" s="120">
        <v>3824</v>
      </c>
      <c r="AV20" s="120">
        <v>3906</v>
      </c>
      <c r="AW20" s="120">
        <v>4027</v>
      </c>
      <c r="AX20" s="120">
        <v>4094</v>
      </c>
      <c r="AY20" s="121">
        <v>4082</v>
      </c>
      <c r="AZ20" s="120">
        <v>4099</v>
      </c>
      <c r="BA20" s="120">
        <v>4052</v>
      </c>
      <c r="BB20" s="120">
        <v>4378</v>
      </c>
      <c r="BC20" s="120">
        <v>4816</v>
      </c>
      <c r="BD20" s="120">
        <v>5205</v>
      </c>
      <c r="BE20" s="120">
        <v>5801</v>
      </c>
      <c r="BF20" s="120">
        <v>6301</v>
      </c>
      <c r="BG20" s="120">
        <v>6724</v>
      </c>
      <c r="BH20" s="120">
        <v>7136</v>
      </c>
      <c r="BI20" s="120">
        <v>7593</v>
      </c>
      <c r="BJ20" s="120">
        <v>7922</v>
      </c>
      <c r="BK20" s="121">
        <v>7907</v>
      </c>
      <c r="BL20" s="120">
        <v>7782</v>
      </c>
      <c r="BM20" s="120">
        <v>7982</v>
      </c>
      <c r="BN20" s="120">
        <v>8880</v>
      </c>
      <c r="BO20" s="120">
        <v>10390</v>
      </c>
      <c r="BP20" s="120">
        <v>11929</v>
      </c>
      <c r="BQ20" s="120">
        <v>13150</v>
      </c>
      <c r="BR20" s="120">
        <v>13994</v>
      </c>
      <c r="BS20" s="120">
        <v>15219</v>
      </c>
      <c r="BT20" s="120">
        <v>15992</v>
      </c>
      <c r="BU20" s="120">
        <v>16750</v>
      </c>
      <c r="BV20" s="120">
        <v>16841</v>
      </c>
      <c r="BW20" s="121">
        <v>16515</v>
      </c>
      <c r="BX20" s="120">
        <v>16034</v>
      </c>
      <c r="BY20" s="120">
        <v>16596</v>
      </c>
      <c r="BZ20" s="120">
        <v>17245</v>
      </c>
      <c r="CA20" s="120">
        <v>16448</v>
      </c>
      <c r="CB20" s="120">
        <v>18135</v>
      </c>
      <c r="CC20" s="120">
        <v>19255</v>
      </c>
      <c r="CD20" s="120">
        <v>19679</v>
      </c>
      <c r="CE20" s="120">
        <v>20990</v>
      </c>
      <c r="CF20" s="120">
        <v>21335</v>
      </c>
      <c r="CG20" s="120">
        <v>21562</v>
      </c>
      <c r="CH20" s="120">
        <v>21293</v>
      </c>
      <c r="CI20" s="121">
        <v>20472</v>
      </c>
      <c r="CJ20" s="120">
        <v>19618</v>
      </c>
      <c r="CK20" s="120">
        <v>19314</v>
      </c>
      <c r="CL20" s="120">
        <v>19964</v>
      </c>
      <c r="CM20" s="120">
        <v>21039</v>
      </c>
      <c r="CN20" s="120">
        <v>22531</v>
      </c>
      <c r="CO20" s="120">
        <v>23566</v>
      </c>
      <c r="CP20" s="120">
        <v>24091</v>
      </c>
      <c r="CQ20" s="120">
        <v>24387</v>
      </c>
      <c r="CR20" s="120">
        <v>24633</v>
      </c>
      <c r="CS20" s="120">
        <v>24470</v>
      </c>
      <c r="CT20" s="120">
        <v>23725</v>
      </c>
      <c r="CU20" s="121">
        <v>22517</v>
      </c>
      <c r="CV20" s="120">
        <v>21635</v>
      </c>
      <c r="CW20" s="120">
        <v>21729</v>
      </c>
      <c r="CX20" s="120">
        <v>22911</v>
      </c>
      <c r="CY20" s="120">
        <v>25152</v>
      </c>
      <c r="CZ20" s="120">
        <v>27952</v>
      </c>
      <c r="DA20" s="120">
        <v>30013</v>
      </c>
      <c r="DB20" s="120">
        <v>31201</v>
      </c>
      <c r="DC20" s="120">
        <v>32279</v>
      </c>
      <c r="DD20" s="120">
        <v>33425</v>
      </c>
      <c r="DE20" s="120">
        <v>33571</v>
      </c>
      <c r="DF20" s="120">
        <v>33651</v>
      </c>
      <c r="DG20" s="121">
        <v>32097</v>
      </c>
      <c r="DH20" s="115">
        <v>31417</v>
      </c>
      <c r="DI20" s="115">
        <v>32292</v>
      </c>
      <c r="DJ20" s="115">
        <v>34792</v>
      </c>
      <c r="DK20" s="115">
        <v>38739</v>
      </c>
      <c r="DL20" s="115">
        <v>42279</v>
      </c>
      <c r="DM20" s="115">
        <v>44693</v>
      </c>
      <c r="DN20" s="115">
        <v>45751</v>
      </c>
      <c r="DO20" s="115">
        <v>47218</v>
      </c>
      <c r="DP20" s="115">
        <v>47124</v>
      </c>
      <c r="DQ20" s="115">
        <v>45662</v>
      </c>
      <c r="DR20" s="115">
        <v>43425</v>
      </c>
      <c r="DS20" s="115">
        <v>38924</v>
      </c>
    </row>
    <row r="21" spans="1:123" x14ac:dyDescent="0.25">
      <c r="A21" s="89" t="s">
        <v>221</v>
      </c>
      <c r="B21" s="118" t="s">
        <v>221</v>
      </c>
      <c r="C21" s="50" t="s">
        <v>1224</v>
      </c>
      <c r="D21" s="120">
        <v>139</v>
      </c>
      <c r="E21" s="120">
        <v>137</v>
      </c>
      <c r="F21" s="120">
        <v>164</v>
      </c>
      <c r="G21" s="120">
        <v>199</v>
      </c>
      <c r="H21" s="120">
        <v>244</v>
      </c>
      <c r="I21" s="120">
        <v>247</v>
      </c>
      <c r="J21" s="120">
        <v>261</v>
      </c>
      <c r="K21" s="120">
        <v>294</v>
      </c>
      <c r="L21" s="120">
        <v>324</v>
      </c>
      <c r="M21" s="120">
        <v>363</v>
      </c>
      <c r="N21" s="120">
        <v>381</v>
      </c>
      <c r="O21" s="121">
        <v>378</v>
      </c>
      <c r="P21" s="120">
        <v>401</v>
      </c>
      <c r="Q21" s="120">
        <v>388</v>
      </c>
      <c r="R21" s="120">
        <v>498</v>
      </c>
      <c r="S21" s="120">
        <v>693</v>
      </c>
      <c r="T21" s="120">
        <v>883</v>
      </c>
      <c r="U21" s="120">
        <v>952</v>
      </c>
      <c r="V21" s="120">
        <v>991</v>
      </c>
      <c r="W21" s="120">
        <v>1129</v>
      </c>
      <c r="X21" s="120">
        <v>1244</v>
      </c>
      <c r="Y21" s="120">
        <v>1319</v>
      </c>
      <c r="Z21" s="120">
        <v>1361</v>
      </c>
      <c r="AA21" s="121">
        <v>1428</v>
      </c>
      <c r="AB21" s="120">
        <v>1509</v>
      </c>
      <c r="AC21" s="120">
        <v>1604</v>
      </c>
      <c r="AD21" s="120">
        <v>1845</v>
      </c>
      <c r="AE21" s="120">
        <v>2007</v>
      </c>
      <c r="AF21" s="120">
        <v>2098</v>
      </c>
      <c r="AG21" s="120">
        <v>2155</v>
      </c>
      <c r="AH21" s="120">
        <v>2303</v>
      </c>
      <c r="AI21" s="120">
        <v>2434</v>
      </c>
      <c r="AJ21" s="120">
        <v>2515</v>
      </c>
      <c r="AK21" s="120">
        <v>2595</v>
      </c>
      <c r="AL21" s="120">
        <v>2726</v>
      </c>
      <c r="AM21" s="121">
        <v>2812</v>
      </c>
      <c r="AN21" s="120">
        <v>2953</v>
      </c>
      <c r="AO21" s="120">
        <v>3077</v>
      </c>
      <c r="AP21" s="120">
        <v>3311</v>
      </c>
      <c r="AQ21" s="120">
        <v>3562</v>
      </c>
      <c r="AR21" s="120">
        <v>3705</v>
      </c>
      <c r="AS21" s="120">
        <v>3893</v>
      </c>
      <c r="AT21" s="120">
        <v>3950</v>
      </c>
      <c r="AU21" s="120">
        <v>4095</v>
      </c>
      <c r="AV21" s="120">
        <v>4154</v>
      </c>
      <c r="AW21" s="120">
        <v>4229</v>
      </c>
      <c r="AX21" s="120">
        <v>4313</v>
      </c>
      <c r="AY21" s="121">
        <v>4364</v>
      </c>
      <c r="AZ21" s="120">
        <v>4493</v>
      </c>
      <c r="BA21" s="120">
        <v>4655</v>
      </c>
      <c r="BB21" s="120">
        <v>5023</v>
      </c>
      <c r="BC21" s="120">
        <v>5583</v>
      </c>
      <c r="BD21" s="120">
        <v>6018</v>
      </c>
      <c r="BE21" s="120">
        <v>6522</v>
      </c>
      <c r="BF21" s="120">
        <v>6813</v>
      </c>
      <c r="BG21" s="120">
        <v>7093</v>
      </c>
      <c r="BH21" s="120">
        <v>7334</v>
      </c>
      <c r="BI21" s="120">
        <v>7449</v>
      </c>
      <c r="BJ21" s="120">
        <v>7396</v>
      </c>
      <c r="BK21" s="121">
        <v>7439</v>
      </c>
      <c r="BL21" s="120">
        <v>7595</v>
      </c>
      <c r="BM21" s="120">
        <v>7749</v>
      </c>
      <c r="BN21" s="120">
        <v>8447</v>
      </c>
      <c r="BO21" s="120">
        <v>9175</v>
      </c>
      <c r="BP21" s="120">
        <v>9877</v>
      </c>
      <c r="BQ21" s="120">
        <v>10208</v>
      </c>
      <c r="BR21" s="120">
        <v>10642</v>
      </c>
      <c r="BS21" s="120">
        <v>11072</v>
      </c>
      <c r="BT21" s="120">
        <v>11474</v>
      </c>
      <c r="BU21" s="120">
        <v>11343</v>
      </c>
      <c r="BV21" s="120">
        <v>11130</v>
      </c>
      <c r="BW21" s="121">
        <v>11018</v>
      </c>
      <c r="BX21" s="120">
        <v>11318</v>
      </c>
      <c r="BY21" s="120">
        <v>11452</v>
      </c>
      <c r="BZ21" s="120">
        <v>11711</v>
      </c>
      <c r="CA21" s="120">
        <v>11083</v>
      </c>
      <c r="CB21" s="120">
        <v>11542</v>
      </c>
      <c r="CC21" s="120">
        <v>11813</v>
      </c>
      <c r="CD21" s="120">
        <v>11772</v>
      </c>
      <c r="CE21" s="120">
        <v>12124</v>
      </c>
      <c r="CF21" s="120">
        <v>12283</v>
      </c>
      <c r="CG21" s="120">
        <v>12145</v>
      </c>
      <c r="CH21" s="120">
        <v>11765</v>
      </c>
      <c r="CI21" s="121">
        <v>11298</v>
      </c>
      <c r="CJ21" s="120">
        <v>10835</v>
      </c>
      <c r="CK21" s="120">
        <v>10675</v>
      </c>
      <c r="CL21" s="120">
        <v>11186</v>
      </c>
      <c r="CM21" s="120">
        <v>12227</v>
      </c>
      <c r="CN21" s="120">
        <v>12916</v>
      </c>
      <c r="CO21" s="120">
        <v>13532</v>
      </c>
      <c r="CP21" s="120">
        <v>13923</v>
      </c>
      <c r="CQ21" s="120">
        <v>14513</v>
      </c>
      <c r="CR21" s="120">
        <v>14902</v>
      </c>
      <c r="CS21" s="120">
        <v>14891</v>
      </c>
      <c r="CT21" s="120">
        <v>14616</v>
      </c>
      <c r="CU21" s="121">
        <v>14278</v>
      </c>
      <c r="CV21" s="120">
        <v>14114</v>
      </c>
      <c r="CW21" s="120">
        <v>14190</v>
      </c>
      <c r="CX21" s="120">
        <v>15130</v>
      </c>
      <c r="CY21" s="120">
        <v>16712</v>
      </c>
      <c r="CZ21" s="120">
        <v>18038</v>
      </c>
      <c r="DA21" s="120">
        <v>18916</v>
      </c>
      <c r="DB21" s="120">
        <v>19599</v>
      </c>
      <c r="DC21" s="120">
        <v>20312</v>
      </c>
      <c r="DD21" s="120">
        <v>21129</v>
      </c>
      <c r="DE21" s="120">
        <v>21480</v>
      </c>
      <c r="DF21" s="120">
        <v>21424</v>
      </c>
      <c r="DG21" s="121">
        <v>20638</v>
      </c>
      <c r="DH21" s="115">
        <v>20250</v>
      </c>
      <c r="DI21" s="115">
        <v>20514</v>
      </c>
      <c r="DJ21" s="115">
        <v>22193</v>
      </c>
      <c r="DK21" s="115">
        <v>24955</v>
      </c>
      <c r="DL21" s="115">
        <v>27349</v>
      </c>
      <c r="DM21" s="115">
        <v>28602</v>
      </c>
      <c r="DN21" s="115">
        <v>29259</v>
      </c>
      <c r="DO21" s="115">
        <v>30683</v>
      </c>
      <c r="DP21" s="115">
        <v>31012</v>
      </c>
      <c r="DQ21" s="115">
        <v>30603</v>
      </c>
      <c r="DR21" s="115">
        <v>29457</v>
      </c>
      <c r="DS21" s="115">
        <v>27784</v>
      </c>
    </row>
    <row r="22" spans="1:123" x14ac:dyDescent="0.25">
      <c r="A22" s="89" t="s">
        <v>562</v>
      </c>
      <c r="B22" s="118" t="s">
        <v>560</v>
      </c>
      <c r="C22" s="50" t="s">
        <v>1224</v>
      </c>
      <c r="D22" s="120">
        <v>27434</v>
      </c>
      <c r="E22" s="120">
        <v>27465</v>
      </c>
      <c r="F22" s="120">
        <v>28199</v>
      </c>
      <c r="G22" s="120">
        <v>29197</v>
      </c>
      <c r="H22" s="120">
        <v>29895</v>
      </c>
      <c r="I22" s="120">
        <v>30221</v>
      </c>
      <c r="J22" s="120">
        <v>30405</v>
      </c>
      <c r="K22" s="120">
        <v>30077</v>
      </c>
      <c r="L22" s="120">
        <v>30259</v>
      </c>
      <c r="M22" s="120">
        <v>30730</v>
      </c>
      <c r="N22" s="120">
        <v>30497</v>
      </c>
      <c r="O22" s="121">
        <v>29275</v>
      </c>
      <c r="P22" s="120">
        <v>28607</v>
      </c>
      <c r="Q22" s="120">
        <v>28804</v>
      </c>
      <c r="R22" s="120">
        <v>29869</v>
      </c>
      <c r="S22" s="120">
        <v>31075</v>
      </c>
      <c r="T22" s="120">
        <v>31888</v>
      </c>
      <c r="U22" s="120">
        <v>32287</v>
      </c>
      <c r="V22" s="120">
        <v>32712</v>
      </c>
      <c r="W22" s="120">
        <v>32449</v>
      </c>
      <c r="X22" s="120">
        <v>32693</v>
      </c>
      <c r="Y22" s="120">
        <v>32979</v>
      </c>
      <c r="Z22" s="120">
        <v>32752</v>
      </c>
      <c r="AA22" s="121">
        <v>32160</v>
      </c>
      <c r="AB22" s="120">
        <v>31411</v>
      </c>
      <c r="AC22" s="120">
        <v>31781</v>
      </c>
      <c r="AD22" s="120">
        <v>33423</v>
      </c>
      <c r="AE22" s="120">
        <v>34392</v>
      </c>
      <c r="AF22" s="120">
        <v>34981</v>
      </c>
      <c r="AG22" s="120">
        <v>35508</v>
      </c>
      <c r="AH22" s="120">
        <v>35611</v>
      </c>
      <c r="AI22" s="120">
        <v>35398</v>
      </c>
      <c r="AJ22" s="120">
        <v>35667</v>
      </c>
      <c r="AK22" s="120">
        <v>36395</v>
      </c>
      <c r="AL22" s="120">
        <v>36142</v>
      </c>
      <c r="AM22" s="121">
        <v>35381</v>
      </c>
      <c r="AN22" s="120">
        <v>34920</v>
      </c>
      <c r="AO22" s="120">
        <v>35405</v>
      </c>
      <c r="AP22" s="120">
        <v>36991</v>
      </c>
      <c r="AQ22" s="120">
        <v>38306</v>
      </c>
      <c r="AR22" s="120">
        <v>39528</v>
      </c>
      <c r="AS22" s="120">
        <v>40054</v>
      </c>
      <c r="AT22" s="120">
        <v>40437</v>
      </c>
      <c r="AU22" s="120">
        <v>40308</v>
      </c>
      <c r="AV22" s="120">
        <v>40659</v>
      </c>
      <c r="AW22" s="120">
        <v>41290</v>
      </c>
      <c r="AX22" s="120">
        <v>41323</v>
      </c>
      <c r="AY22" s="121">
        <v>40459</v>
      </c>
      <c r="AZ22" s="120">
        <v>40406</v>
      </c>
      <c r="BA22" s="120">
        <v>41145</v>
      </c>
      <c r="BB22" s="120">
        <v>42871</v>
      </c>
      <c r="BC22" s="120">
        <v>44219</v>
      </c>
      <c r="BD22" s="120">
        <v>45428</v>
      </c>
      <c r="BE22" s="120">
        <v>46020</v>
      </c>
      <c r="BF22" s="120">
        <v>46601</v>
      </c>
      <c r="BG22" s="120">
        <v>46286</v>
      </c>
      <c r="BH22" s="120">
        <v>46628</v>
      </c>
      <c r="BI22" s="120">
        <v>47281</v>
      </c>
      <c r="BJ22" s="120">
        <v>47177</v>
      </c>
      <c r="BK22" s="121">
        <v>46083</v>
      </c>
      <c r="BL22" s="120">
        <v>45956</v>
      </c>
      <c r="BM22" s="120">
        <v>46983</v>
      </c>
      <c r="BN22" s="120">
        <v>48524</v>
      </c>
      <c r="BO22" s="120">
        <v>49959</v>
      </c>
      <c r="BP22" s="120">
        <v>51148</v>
      </c>
      <c r="BQ22" s="120">
        <v>51493</v>
      </c>
      <c r="BR22" s="120">
        <v>52001</v>
      </c>
      <c r="BS22" s="120">
        <v>51590</v>
      </c>
      <c r="BT22" s="120">
        <v>52008</v>
      </c>
      <c r="BU22" s="120">
        <v>52466</v>
      </c>
      <c r="BV22" s="120">
        <v>52090</v>
      </c>
      <c r="BW22" s="121">
        <v>50876</v>
      </c>
      <c r="BX22" s="120">
        <v>50340</v>
      </c>
      <c r="BY22" s="120">
        <v>51393</v>
      </c>
      <c r="BZ22" s="120">
        <v>51822</v>
      </c>
      <c r="CA22" s="120">
        <v>48903</v>
      </c>
      <c r="CB22" s="120">
        <v>48861</v>
      </c>
      <c r="CC22" s="120">
        <v>49370</v>
      </c>
      <c r="CD22" s="120">
        <v>49898</v>
      </c>
      <c r="CE22" s="120">
        <v>49821</v>
      </c>
      <c r="CF22" s="120">
        <v>50372</v>
      </c>
      <c r="CG22" s="120">
        <v>50513</v>
      </c>
      <c r="CH22" s="120">
        <v>50570</v>
      </c>
      <c r="CI22" s="121">
        <v>49683</v>
      </c>
      <c r="CJ22" s="120">
        <v>49502</v>
      </c>
      <c r="CK22" s="120">
        <v>49631</v>
      </c>
      <c r="CL22" s="120">
        <v>50223</v>
      </c>
      <c r="CM22" s="120">
        <v>50823</v>
      </c>
      <c r="CN22" s="120">
        <v>52429</v>
      </c>
      <c r="CO22" s="120">
        <v>53684</v>
      </c>
      <c r="CP22" s="120">
        <v>53974</v>
      </c>
      <c r="CQ22" s="120">
        <v>53887</v>
      </c>
      <c r="CR22" s="120">
        <v>54559</v>
      </c>
      <c r="CS22" s="120">
        <v>55130</v>
      </c>
      <c r="CT22" s="120">
        <v>55352</v>
      </c>
      <c r="CU22" s="121">
        <v>54331</v>
      </c>
      <c r="CV22" s="120">
        <v>54097</v>
      </c>
      <c r="CW22" s="120">
        <v>54895</v>
      </c>
      <c r="CX22" s="120">
        <v>56483</v>
      </c>
      <c r="CY22" s="120">
        <v>58740</v>
      </c>
      <c r="CZ22" s="120">
        <v>60834</v>
      </c>
      <c r="DA22" s="120">
        <v>61869</v>
      </c>
      <c r="DB22" s="120">
        <v>61958</v>
      </c>
      <c r="DC22" s="120">
        <v>61945</v>
      </c>
      <c r="DD22" s="120">
        <v>62455</v>
      </c>
      <c r="DE22" s="120">
        <v>62860</v>
      </c>
      <c r="DF22" s="120">
        <v>62750</v>
      </c>
      <c r="DG22" s="121">
        <v>61322</v>
      </c>
      <c r="DH22" s="115">
        <v>61144</v>
      </c>
      <c r="DI22" s="115">
        <v>61607</v>
      </c>
      <c r="DJ22" s="115">
        <v>62779</v>
      </c>
      <c r="DK22" s="115">
        <v>63173</v>
      </c>
      <c r="DL22" s="115">
        <v>63935</v>
      </c>
      <c r="DM22" s="115">
        <v>63888</v>
      </c>
      <c r="DN22" s="115">
        <v>63672</v>
      </c>
      <c r="DO22" s="115">
        <v>63257</v>
      </c>
      <c r="DP22" s="115">
        <v>63281</v>
      </c>
      <c r="DQ22" s="115">
        <v>62893</v>
      </c>
      <c r="DR22" s="115">
        <v>61679</v>
      </c>
      <c r="DS22" s="115">
        <v>59596</v>
      </c>
    </row>
    <row r="24" spans="1:123" x14ac:dyDescent="0.25">
      <c r="A24" s="11"/>
    </row>
    <row r="25" spans="1:123" x14ac:dyDescent="0.25">
      <c r="A25" s="28" t="s">
        <v>1633</v>
      </c>
      <c r="F25" s="16"/>
      <c r="G25" s="16"/>
      <c r="H25" s="16"/>
      <c r="I25" s="16"/>
      <c r="K25" s="16"/>
      <c r="L25" s="16"/>
      <c r="M25" s="16"/>
      <c r="N25" s="16"/>
    </row>
    <row r="26" spans="1:123" x14ac:dyDescent="0.25">
      <c r="A26" s="29" t="s">
        <v>1634</v>
      </c>
      <c r="F26" s="16"/>
      <c r="G26" s="16"/>
      <c r="H26" s="16"/>
      <c r="I26" s="16"/>
      <c r="K26" s="16"/>
      <c r="L26" s="16"/>
      <c r="M26" s="16"/>
      <c r="N26" s="16"/>
    </row>
    <row r="27" spans="1:123" x14ac:dyDescent="0.25">
      <c r="A27" s="11"/>
      <c r="F27" s="16"/>
      <c r="G27" s="16"/>
      <c r="H27" s="16"/>
      <c r="I27" s="16"/>
      <c r="K27" s="16"/>
      <c r="L27" s="16"/>
      <c r="M27" s="16"/>
      <c r="N27" s="16"/>
    </row>
    <row r="28" spans="1:123" x14ac:dyDescent="0.25">
      <c r="A28" s="11"/>
    </row>
    <row r="29" spans="1:123" x14ac:dyDescent="0.25">
      <c r="A29" s="11"/>
      <c r="F29" s="16"/>
      <c r="G29" s="16"/>
      <c r="H29" s="16"/>
      <c r="I29" s="16"/>
      <c r="K29" s="16"/>
      <c r="L29" s="16"/>
      <c r="M29" s="16"/>
      <c r="N29" s="16"/>
    </row>
    <row r="30" spans="1:123" x14ac:dyDescent="0.25">
      <c r="A30" s="11"/>
      <c r="F30" s="16"/>
      <c r="G30" s="16"/>
      <c r="H30" s="16"/>
      <c r="I30" s="16"/>
      <c r="K30" s="16"/>
      <c r="L30" s="16"/>
      <c r="M30" s="16"/>
      <c r="N30" s="16"/>
    </row>
    <row r="33" spans="1:1" x14ac:dyDescent="0.25">
      <c r="A33" s="8"/>
    </row>
  </sheetData>
  <mergeCells count="10">
    <mergeCell ref="D15:O15"/>
    <mergeCell ref="P15:AA15"/>
    <mergeCell ref="AB15:AM15"/>
    <mergeCell ref="AN15:AY15"/>
    <mergeCell ref="AZ15:BK15"/>
    <mergeCell ref="BL15:BW15"/>
    <mergeCell ref="BX15:CI15"/>
    <mergeCell ref="CJ15:CU15"/>
    <mergeCell ref="CV15:DG15"/>
    <mergeCell ref="DH15:DS15"/>
  </mergeCells>
  <hyperlinks>
    <hyperlink ref="A5" location="Índice!A1" display="Índice/Contents" xr:uid="{03EA30FA-F988-4F7D-B4A9-43902B77A2CE}"/>
  </hyperlinks>
  <pageMargins left="0.7" right="0.7" top="0.75" bottom="0.75" header="0.3" footer="0.3"/>
  <pageSetup paperSize="9" orientation="portrait" horizontalDpi="1200" verticalDpi="120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AD5E-0DB5-4B98-909B-41804DEDF9C6}">
  <sheetPr codeName="Sheet22">
    <tabColor theme="4"/>
  </sheetPr>
  <dimension ref="A5:M26"/>
  <sheetViews>
    <sheetView showGridLines="0" showRowColHeaders="0" workbookViewId="0">
      <selection activeCell="C35" sqref="C35"/>
    </sheetView>
  </sheetViews>
  <sheetFormatPr defaultRowHeight="15" x14ac:dyDescent="0.25"/>
  <cols>
    <col min="1" max="1" width="61.140625" customWidth="1"/>
    <col min="2" max="2" width="40.42578125" customWidth="1"/>
    <col min="3" max="6" width="24.5703125" bestFit="1" customWidth="1"/>
    <col min="7" max="7" width="17" customWidth="1"/>
    <col min="8" max="8" width="13.42578125" customWidth="1"/>
    <col min="9" max="9" width="17" customWidth="1"/>
  </cols>
  <sheetData>
    <row r="5" spans="1:13" ht="36" customHeight="1" x14ac:dyDescent="0.25">
      <c r="A5" s="10" t="s">
        <v>3</v>
      </c>
    </row>
    <row r="6" spans="1:13" ht="18.75" x14ac:dyDescent="0.25">
      <c r="A6" s="6" t="s">
        <v>179</v>
      </c>
    </row>
    <row r="7" spans="1:13" x14ac:dyDescent="0.25">
      <c r="A7" s="78" t="str">
        <f>+Índice!A95</f>
        <v>Parte II. Tema em Destaque: Caraterização dos trabalhadores estrangeiros por conta de outrem em Portugal / Part II Special Issue: Characterization of foreign employees in Portugal</v>
      </c>
    </row>
    <row r="8" spans="1:13" ht="18.75" x14ac:dyDescent="0.25">
      <c r="A8" s="6"/>
    </row>
    <row r="9" spans="1:13" x14ac:dyDescent="0.25">
      <c r="A9" s="7"/>
    </row>
    <row r="10" spans="1:13" x14ac:dyDescent="0.25">
      <c r="A10" t="s">
        <v>185</v>
      </c>
    </row>
    <row r="11" spans="1:13" x14ac:dyDescent="0.25">
      <c r="A11" s="8" t="s">
        <v>226</v>
      </c>
    </row>
    <row r="13" spans="1:13" x14ac:dyDescent="0.25">
      <c r="A13" s="296" t="s">
        <v>2</v>
      </c>
      <c r="C13" s="417" t="s">
        <v>1225</v>
      </c>
      <c r="D13" s="417"/>
      <c r="E13" s="417" t="s">
        <v>1225</v>
      </c>
      <c r="F13" s="417"/>
      <c r="G13" s="417"/>
      <c r="H13" s="417"/>
      <c r="I13" s="417"/>
    </row>
    <row r="14" spans="1:13" x14ac:dyDescent="0.25">
      <c r="A14" s="11"/>
      <c r="C14" s="452" t="s">
        <v>233</v>
      </c>
      <c r="D14" s="453"/>
      <c r="E14" s="456" t="s">
        <v>240</v>
      </c>
      <c r="F14" s="456"/>
      <c r="G14" s="456"/>
      <c r="H14" s="456"/>
      <c r="I14" s="456"/>
    </row>
    <row r="15" spans="1:13" x14ac:dyDescent="0.25">
      <c r="A15" s="11"/>
      <c r="C15" s="454" t="s">
        <v>227</v>
      </c>
      <c r="D15" s="455"/>
      <c r="E15" s="456" t="s">
        <v>241</v>
      </c>
      <c r="F15" s="456"/>
      <c r="G15" s="456"/>
      <c r="H15" s="456"/>
      <c r="I15" s="456"/>
      <c r="J15" s="16"/>
      <c r="K15" s="16"/>
      <c r="L15" s="16"/>
      <c r="M15" s="16"/>
    </row>
    <row r="16" spans="1:13" x14ac:dyDescent="0.25">
      <c r="A16" s="11"/>
      <c r="B16" s="35"/>
      <c r="C16" s="130" t="s">
        <v>200</v>
      </c>
      <c r="D16" s="176" t="s">
        <v>201</v>
      </c>
      <c r="E16" s="177" t="s">
        <v>218</v>
      </c>
      <c r="F16" s="178" t="s">
        <v>224</v>
      </c>
      <c r="G16" s="179" t="s">
        <v>225</v>
      </c>
      <c r="H16" s="179" t="s">
        <v>223</v>
      </c>
      <c r="I16" s="148" t="s">
        <v>221</v>
      </c>
      <c r="J16" s="16"/>
      <c r="K16" s="16"/>
      <c r="L16" s="16"/>
      <c r="M16" s="16"/>
    </row>
    <row r="17" spans="1:13" x14ac:dyDescent="0.25">
      <c r="A17" s="11"/>
      <c r="C17" s="174" t="s">
        <v>198</v>
      </c>
      <c r="D17" s="175" t="s">
        <v>239</v>
      </c>
      <c r="E17" s="174" t="s">
        <v>218</v>
      </c>
      <c r="F17" s="174" t="s">
        <v>222</v>
      </c>
      <c r="G17" s="123" t="s">
        <v>219</v>
      </c>
      <c r="H17" s="123" t="s">
        <v>220</v>
      </c>
      <c r="I17" s="124" t="s">
        <v>221</v>
      </c>
      <c r="J17" s="16"/>
      <c r="K17" s="16"/>
      <c r="L17" s="16"/>
      <c r="M17" s="16"/>
    </row>
    <row r="18" spans="1:13" x14ac:dyDescent="0.25">
      <c r="A18" s="74" t="s">
        <v>234</v>
      </c>
      <c r="B18" s="122" t="s">
        <v>228</v>
      </c>
      <c r="C18" s="125">
        <v>25.083333333333332</v>
      </c>
      <c r="D18" s="126">
        <v>23.333333333333332</v>
      </c>
      <c r="E18" s="114">
        <v>25</v>
      </c>
      <c r="F18" s="114">
        <v>23.083333969116211</v>
      </c>
      <c r="G18" s="91">
        <v>21.583333969116211</v>
      </c>
      <c r="H18" s="91">
        <v>23</v>
      </c>
      <c r="I18" s="91">
        <v>24</v>
      </c>
      <c r="J18" s="16"/>
      <c r="K18" s="16"/>
      <c r="L18" s="16"/>
      <c r="M18" s="16"/>
    </row>
    <row r="19" spans="1:13" x14ac:dyDescent="0.25">
      <c r="A19" s="74" t="s">
        <v>235</v>
      </c>
      <c r="B19" s="122" t="s">
        <v>229</v>
      </c>
      <c r="C19" s="125">
        <v>32</v>
      </c>
      <c r="D19" s="126">
        <v>27.083333333333332</v>
      </c>
      <c r="E19" s="114">
        <v>28</v>
      </c>
      <c r="F19" s="114">
        <v>27.083333969116211</v>
      </c>
      <c r="G19" s="91">
        <v>24.666666030883789</v>
      </c>
      <c r="H19" s="91">
        <v>26</v>
      </c>
      <c r="I19" s="91">
        <v>27</v>
      </c>
    </row>
    <row r="20" spans="1:13" x14ac:dyDescent="0.25">
      <c r="A20" s="74" t="s">
        <v>236</v>
      </c>
      <c r="B20" s="122" t="s">
        <v>230</v>
      </c>
      <c r="C20" s="125">
        <v>42.25</v>
      </c>
      <c r="D20" s="126">
        <v>33.083333333333336</v>
      </c>
      <c r="E20" s="114">
        <v>33</v>
      </c>
      <c r="F20" s="114">
        <v>34</v>
      </c>
      <c r="G20" s="91">
        <v>31.083333969116211</v>
      </c>
      <c r="H20" s="91">
        <v>30</v>
      </c>
      <c r="I20" s="91">
        <v>31</v>
      </c>
      <c r="J20" s="16"/>
      <c r="K20" s="16"/>
      <c r="L20" s="16"/>
      <c r="M20" s="16"/>
    </row>
    <row r="21" spans="1:13" x14ac:dyDescent="0.25">
      <c r="A21" s="74" t="s">
        <v>237</v>
      </c>
      <c r="B21" s="122" t="s">
        <v>231</v>
      </c>
      <c r="C21" s="125">
        <v>51</v>
      </c>
      <c r="D21" s="126">
        <v>41</v>
      </c>
      <c r="E21" s="114">
        <v>38</v>
      </c>
      <c r="F21" s="114">
        <v>41.083332061767578</v>
      </c>
      <c r="G21" s="91">
        <v>39.416667938232422</v>
      </c>
      <c r="H21" s="91">
        <v>36</v>
      </c>
      <c r="I21" s="91">
        <v>36</v>
      </c>
      <c r="J21" s="16"/>
      <c r="K21" s="16"/>
      <c r="L21" s="16"/>
      <c r="M21" s="16"/>
    </row>
    <row r="22" spans="1:13" x14ac:dyDescent="0.25">
      <c r="A22" s="89" t="s">
        <v>238</v>
      </c>
      <c r="B22" s="122" t="s">
        <v>232</v>
      </c>
      <c r="C22" s="125">
        <v>58</v>
      </c>
      <c r="D22" s="126">
        <v>49</v>
      </c>
      <c r="E22" s="114">
        <v>43.333332061767578</v>
      </c>
      <c r="F22" s="114">
        <v>48.5</v>
      </c>
      <c r="G22" s="91">
        <v>50.25</v>
      </c>
      <c r="H22" s="91">
        <v>42</v>
      </c>
      <c r="I22" s="91">
        <v>41</v>
      </c>
    </row>
    <row r="24" spans="1:13" x14ac:dyDescent="0.25">
      <c r="A24" s="8"/>
    </row>
    <row r="25" spans="1:13" x14ac:dyDescent="0.25">
      <c r="A25" s="28" t="s">
        <v>1648</v>
      </c>
    </row>
    <row r="26" spans="1:13" x14ac:dyDescent="0.25">
      <c r="A26" s="29" t="s">
        <v>1647</v>
      </c>
    </row>
  </sheetData>
  <mergeCells count="6">
    <mergeCell ref="C14:D14"/>
    <mergeCell ref="C15:D15"/>
    <mergeCell ref="E14:I14"/>
    <mergeCell ref="E15:I15"/>
    <mergeCell ref="C13:D13"/>
    <mergeCell ref="E13:I13"/>
  </mergeCells>
  <phoneticPr fontId="28" type="noConversion"/>
  <hyperlinks>
    <hyperlink ref="A5" location="Índice!A1" display="Índice/Contents" xr:uid="{DB0E4FE7-E2FA-4C79-8D69-F4D2F5541DA6}"/>
  </hyperlinks>
  <pageMargins left="0.7" right="0.7" top="0.75" bottom="0.75" header="0.3" footer="0.3"/>
  <pageSetup paperSize="9"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F445-69BC-49B0-878A-0C4B43A66EB2}">
  <sheetPr codeName="Sheet23">
    <tabColor theme="4"/>
  </sheetPr>
  <dimension ref="A5:CC34"/>
  <sheetViews>
    <sheetView showGridLines="0" showRowColHeaders="0" workbookViewId="0">
      <selection activeCell="B28" sqref="B28"/>
    </sheetView>
  </sheetViews>
  <sheetFormatPr defaultRowHeight="15" x14ac:dyDescent="0.25"/>
  <cols>
    <col min="1" max="1" width="61.140625" customWidth="1"/>
    <col min="2" max="2" width="40.42578125" customWidth="1"/>
    <col min="3" max="3" width="10.140625" bestFit="1" customWidth="1"/>
  </cols>
  <sheetData>
    <row r="5" spans="1:64" ht="36" customHeight="1" x14ac:dyDescent="0.25">
      <c r="A5" s="10" t="s">
        <v>3</v>
      </c>
    </row>
    <row r="6" spans="1:64" ht="18.75" x14ac:dyDescent="0.25">
      <c r="A6" s="6" t="s">
        <v>179</v>
      </c>
    </row>
    <row r="7" spans="1:64" x14ac:dyDescent="0.25">
      <c r="A7" s="78" t="str">
        <f>+Índice!A95</f>
        <v>Parte II. Tema em Destaque: Caraterização dos trabalhadores estrangeiros por conta de outrem em Portugal / Part II Special Issue: Characterization of foreign employees in Portugal</v>
      </c>
    </row>
    <row r="8" spans="1:64" ht="18.75" x14ac:dyDescent="0.25">
      <c r="A8" s="6"/>
    </row>
    <row r="9" spans="1:64" x14ac:dyDescent="0.25">
      <c r="A9" s="7"/>
    </row>
    <row r="10" spans="1:64" x14ac:dyDescent="0.25">
      <c r="A10" t="s">
        <v>186</v>
      </c>
    </row>
    <row r="11" spans="1:64" x14ac:dyDescent="0.25">
      <c r="A11" s="8" t="s">
        <v>1614</v>
      </c>
    </row>
    <row r="13" spans="1:64" x14ac:dyDescent="0.25">
      <c r="A13" s="296" t="s">
        <v>2</v>
      </c>
      <c r="C13" s="319" t="s">
        <v>4</v>
      </c>
    </row>
    <row r="14" spans="1:64" x14ac:dyDescent="0.25">
      <c r="A14" s="136"/>
      <c r="B14" s="137"/>
      <c r="C14" s="130" t="s">
        <v>1649</v>
      </c>
      <c r="D14" s="17"/>
      <c r="E14" s="17"/>
      <c r="F14" s="17"/>
      <c r="G14" s="17"/>
      <c r="H14" s="17"/>
      <c r="I14" s="17"/>
      <c r="J14" s="17"/>
    </row>
    <row r="15" spans="1:64" x14ac:dyDescent="0.25">
      <c r="A15" s="136"/>
      <c r="B15" s="137"/>
      <c r="C15" s="138" t="s">
        <v>243</v>
      </c>
      <c r="D15" s="17"/>
      <c r="E15" s="17"/>
      <c r="F15" s="17"/>
      <c r="G15" s="17"/>
      <c r="H15" s="17"/>
      <c r="I15" s="17"/>
      <c r="J15" s="17"/>
    </row>
    <row r="16" spans="1:64" ht="15" customHeight="1" x14ac:dyDescent="0.25">
      <c r="A16" s="89" t="s">
        <v>200</v>
      </c>
      <c r="B16" s="117" t="s">
        <v>242</v>
      </c>
      <c r="C16" s="127">
        <v>49.280274525353605</v>
      </c>
      <c r="D16" s="82"/>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81" ht="15" customHeight="1" x14ac:dyDescent="0.25">
      <c r="A17" s="89" t="s">
        <v>201</v>
      </c>
      <c r="B17" s="117" t="s">
        <v>199</v>
      </c>
      <c r="C17" s="52">
        <v>36.67706672042253</v>
      </c>
      <c r="D17" s="18"/>
      <c r="E17" s="18"/>
      <c r="F17" s="18"/>
      <c r="G17" s="18"/>
      <c r="H17" s="18"/>
      <c r="I17" s="18"/>
      <c r="J17" s="18"/>
      <c r="K17" s="79"/>
      <c r="L17" s="79"/>
      <c r="M17" s="79"/>
    </row>
    <row r="18" spans="1:81" x14ac:dyDescent="0.25">
      <c r="A18" s="132"/>
      <c r="B18" s="89"/>
      <c r="C18" s="128"/>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row>
    <row r="19" spans="1:81" x14ac:dyDescent="0.25">
      <c r="A19" s="133" t="s">
        <v>218</v>
      </c>
      <c r="B19" s="117" t="s">
        <v>218</v>
      </c>
      <c r="C19" s="128">
        <v>2.5728812806678656</v>
      </c>
      <c r="D19" s="81"/>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0"/>
      <c r="BO19" s="80"/>
      <c r="BP19" s="80"/>
      <c r="BQ19" s="80"/>
      <c r="BR19" s="80"/>
      <c r="BS19" s="80"/>
      <c r="BT19" s="80"/>
      <c r="BU19" s="80"/>
      <c r="BV19" s="80"/>
      <c r="BW19" s="80"/>
      <c r="BX19" s="80"/>
      <c r="BY19" s="80"/>
      <c r="BZ19" s="80"/>
      <c r="CA19" s="80"/>
      <c r="CB19" s="80"/>
      <c r="CC19" s="80"/>
    </row>
    <row r="20" spans="1:81" x14ac:dyDescent="0.25">
      <c r="A20" s="134" t="s">
        <v>224</v>
      </c>
      <c r="B20" s="117" t="s">
        <v>222</v>
      </c>
      <c r="C20" s="128">
        <v>44.2504244877397</v>
      </c>
      <c r="D20" s="19"/>
      <c r="E20" s="19"/>
      <c r="F20" s="19"/>
      <c r="G20" s="19"/>
      <c r="H20" s="19"/>
      <c r="I20" s="19"/>
      <c r="J20" s="19"/>
      <c r="K20" s="16"/>
      <c r="L20" s="16"/>
      <c r="M20" s="16"/>
    </row>
    <row r="21" spans="1:81" x14ac:dyDescent="0.25">
      <c r="A21" s="134" t="s">
        <v>225</v>
      </c>
      <c r="B21" s="117" t="s">
        <v>219</v>
      </c>
      <c r="C21" s="128">
        <v>46.396060891802939</v>
      </c>
      <c r="D21" s="19"/>
      <c r="E21" s="19"/>
      <c r="F21" s="19"/>
      <c r="G21" s="19"/>
      <c r="H21" s="19"/>
      <c r="I21" s="19"/>
      <c r="J21" s="19"/>
      <c r="K21" s="16"/>
      <c r="L21" s="16"/>
      <c r="M21" s="16"/>
    </row>
    <row r="22" spans="1:81" x14ac:dyDescent="0.25">
      <c r="A22" s="89" t="s">
        <v>223</v>
      </c>
      <c r="B22" s="117" t="s">
        <v>220</v>
      </c>
      <c r="C22" s="128">
        <v>7.5476071389359909</v>
      </c>
      <c r="D22" s="19"/>
      <c r="E22" s="19"/>
      <c r="F22" s="19"/>
      <c r="G22" s="19"/>
      <c r="H22" s="19"/>
      <c r="I22" s="19"/>
      <c r="J22" s="19"/>
    </row>
    <row r="23" spans="1:81" x14ac:dyDescent="0.25">
      <c r="A23" s="135" t="s">
        <v>221</v>
      </c>
      <c r="B23" s="117" t="s">
        <v>221</v>
      </c>
      <c r="C23" s="131">
        <v>24.333914940697742</v>
      </c>
      <c r="D23" s="102"/>
      <c r="E23" s="102"/>
      <c r="F23" s="102"/>
      <c r="G23" s="19"/>
      <c r="H23" s="19"/>
      <c r="I23" s="19"/>
      <c r="J23" s="19"/>
      <c r="K23" s="16"/>
      <c r="L23" s="16"/>
      <c r="M23" s="16"/>
    </row>
    <row r="24" spans="1:81" x14ac:dyDescent="0.25">
      <c r="A24" s="15"/>
      <c r="B24" s="13"/>
      <c r="E24" s="16"/>
      <c r="F24" s="16"/>
      <c r="G24" s="16"/>
      <c r="H24" s="16"/>
      <c r="J24" s="16"/>
      <c r="K24" s="16"/>
      <c r="L24" s="16"/>
      <c r="M24" s="16"/>
    </row>
    <row r="25" spans="1:81" x14ac:dyDescent="0.25">
      <c r="A25" s="11"/>
      <c r="B25" s="12"/>
    </row>
    <row r="26" spans="1:81" x14ac:dyDescent="0.25">
      <c r="A26" s="28" t="s">
        <v>1635</v>
      </c>
      <c r="B26" s="12"/>
      <c r="E26" s="16"/>
      <c r="F26" s="16"/>
      <c r="G26" s="16"/>
      <c r="H26" s="16"/>
      <c r="J26" s="16"/>
      <c r="K26" s="16"/>
      <c r="L26" s="16"/>
      <c r="M26" s="16"/>
    </row>
    <row r="27" spans="1:81" x14ac:dyDescent="0.25">
      <c r="A27" s="29" t="s">
        <v>1636</v>
      </c>
      <c r="B27" s="12"/>
      <c r="E27" s="16"/>
      <c r="F27" s="16"/>
      <c r="G27" s="16"/>
      <c r="H27" s="16"/>
      <c r="J27" s="16"/>
      <c r="K27" s="16"/>
      <c r="L27" s="16"/>
      <c r="M27" s="16"/>
    </row>
    <row r="28" spans="1:81" x14ac:dyDescent="0.25">
      <c r="A28" s="11"/>
      <c r="B28" s="12"/>
      <c r="E28" s="16"/>
      <c r="F28" s="16"/>
      <c r="G28" s="16"/>
      <c r="H28" s="16"/>
      <c r="J28" s="16"/>
      <c r="K28" s="16"/>
      <c r="L28" s="16"/>
      <c r="M28" s="16"/>
    </row>
    <row r="29" spans="1:81" x14ac:dyDescent="0.25">
      <c r="A29" s="11"/>
      <c r="B29" s="12"/>
    </row>
    <row r="30" spans="1:81" x14ac:dyDescent="0.25">
      <c r="A30" s="11"/>
      <c r="B30" s="8"/>
      <c r="E30" s="16"/>
      <c r="F30" s="16"/>
      <c r="G30" s="16"/>
      <c r="H30" s="16"/>
      <c r="J30" s="16"/>
      <c r="K30" s="16"/>
      <c r="L30" s="16"/>
      <c r="M30" s="16"/>
    </row>
    <row r="31" spans="1:81" x14ac:dyDescent="0.25">
      <c r="A31" s="11"/>
      <c r="B31" s="12"/>
      <c r="E31" s="16"/>
      <c r="F31" s="16"/>
      <c r="G31" s="16"/>
      <c r="H31" s="16"/>
      <c r="J31" s="16"/>
      <c r="K31" s="16"/>
      <c r="L31" s="16"/>
      <c r="M31" s="16"/>
    </row>
    <row r="34" spans="1:1" x14ac:dyDescent="0.25">
      <c r="A34" s="8"/>
    </row>
  </sheetData>
  <hyperlinks>
    <hyperlink ref="A5" location="Índice!A1" display="Índice/Contents" xr:uid="{73CDA431-9A95-4DD4-955A-6FA3C0D3059E}"/>
  </hyperlinks>
  <pageMargins left="0.7" right="0.7" top="0.75" bottom="0.75" header="0.3" footer="0.3"/>
  <pageSetup paperSize="9" orientation="portrait" horizontalDpi="1200" verticalDpi="120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B578-D012-4811-9EFE-F264FF3D6EB9}">
  <sheetPr codeName="Sheet24">
    <tabColor theme="4"/>
  </sheetPr>
  <dimension ref="A5:CB325"/>
  <sheetViews>
    <sheetView showGridLines="0" showRowColHeaders="0" workbookViewId="0">
      <selection activeCell="D13" sqref="D13"/>
    </sheetView>
  </sheetViews>
  <sheetFormatPr defaultRowHeight="15" x14ac:dyDescent="0.25"/>
  <cols>
    <col min="1" max="1" width="61.140625" customWidth="1"/>
    <col min="2" max="2" width="40.42578125" customWidth="1"/>
    <col min="3" max="3" width="36.5703125" customWidth="1"/>
    <col min="4" max="4" width="10.5703125" bestFit="1" customWidth="1"/>
  </cols>
  <sheetData>
    <row r="5" spans="1:63" ht="36" customHeight="1" x14ac:dyDescent="0.25">
      <c r="A5" s="10" t="s">
        <v>3</v>
      </c>
    </row>
    <row r="6" spans="1:63" ht="18.75" x14ac:dyDescent="0.25">
      <c r="A6" s="6" t="s">
        <v>179</v>
      </c>
    </row>
    <row r="7" spans="1:63" x14ac:dyDescent="0.25">
      <c r="A7" s="78" t="str">
        <f>+Índice!A95</f>
        <v>Parte II. Tema em Destaque: Caraterização dos trabalhadores estrangeiros por conta de outrem em Portugal / Part II Special Issue: Characterization of foreign employees in Portugal</v>
      </c>
    </row>
    <row r="8" spans="1:63" ht="18.75" x14ac:dyDescent="0.25">
      <c r="A8" s="6"/>
    </row>
    <row r="9" spans="1:63" x14ac:dyDescent="0.25">
      <c r="A9" s="7"/>
    </row>
    <row r="10" spans="1:63" x14ac:dyDescent="0.25">
      <c r="A10" t="s">
        <v>1627</v>
      </c>
    </row>
    <row r="11" spans="1:63" x14ac:dyDescent="0.25">
      <c r="A11" s="8" t="s">
        <v>1615</v>
      </c>
    </row>
    <row r="12" spans="1:63" x14ac:dyDescent="0.25">
      <c r="A12" s="8"/>
    </row>
    <row r="13" spans="1:63" ht="26.25" x14ac:dyDescent="0.25">
      <c r="A13" s="296" t="s">
        <v>2</v>
      </c>
      <c r="C13" s="320" t="s">
        <v>1226</v>
      </c>
      <c r="D13" s="298" t="s">
        <v>1639</v>
      </c>
    </row>
    <row r="14" spans="1:63" x14ac:dyDescent="0.25">
      <c r="B14" s="130" t="s">
        <v>524</v>
      </c>
      <c r="C14" s="130" t="s">
        <v>233</v>
      </c>
      <c r="D14" s="130" t="s">
        <v>240</v>
      </c>
    </row>
    <row r="15" spans="1:63" x14ac:dyDescent="0.25">
      <c r="A15" s="9"/>
      <c r="B15" s="138" t="s">
        <v>523</v>
      </c>
      <c r="C15" s="138" t="s">
        <v>227</v>
      </c>
      <c r="D15" s="138" t="s">
        <v>241</v>
      </c>
      <c r="F15" s="17"/>
      <c r="G15" s="17"/>
      <c r="H15" s="17"/>
      <c r="I15" s="17"/>
    </row>
    <row r="16" spans="1:63" ht="15" customHeight="1" x14ac:dyDescent="0.25">
      <c r="B16" s="117" t="s">
        <v>244</v>
      </c>
      <c r="C16" s="139">
        <v>1635.4166666666667</v>
      </c>
      <c r="D16" s="54">
        <v>9.5715365669275982</v>
      </c>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row>
    <row r="17" spans="1:80" ht="15" customHeight="1" x14ac:dyDescent="0.25">
      <c r="B17" s="117" t="s">
        <v>245</v>
      </c>
      <c r="C17" s="140">
        <v>793</v>
      </c>
      <c r="D17" s="141">
        <v>9.5412844036697244</v>
      </c>
      <c r="F17" s="18"/>
      <c r="G17" s="18"/>
      <c r="H17" s="18"/>
      <c r="I17" s="18"/>
      <c r="J17" s="79"/>
      <c r="K17" s="79"/>
      <c r="L17" s="79"/>
    </row>
    <row r="18" spans="1:80" x14ac:dyDescent="0.25">
      <c r="A18" s="87"/>
      <c r="B18" s="89" t="s">
        <v>246</v>
      </c>
      <c r="C18" s="142">
        <v>552.08333333333337</v>
      </c>
      <c r="D18" s="128">
        <v>7.5664995374441792</v>
      </c>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row>
    <row r="19" spans="1:80" x14ac:dyDescent="0.25">
      <c r="A19" s="23"/>
      <c r="B19" s="89" t="s">
        <v>247</v>
      </c>
      <c r="C19" s="142">
        <v>213.66666666666666</v>
      </c>
      <c r="D19" s="128">
        <v>3.604920913884007</v>
      </c>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0"/>
      <c r="BN19" s="80"/>
      <c r="BO19" s="80"/>
      <c r="BP19" s="80"/>
      <c r="BQ19" s="80"/>
      <c r="BR19" s="80"/>
      <c r="BS19" s="80"/>
      <c r="BT19" s="80"/>
      <c r="BU19" s="80"/>
      <c r="BV19" s="80"/>
      <c r="BW19" s="80"/>
      <c r="BX19" s="80"/>
      <c r="BY19" s="80"/>
      <c r="BZ19" s="80"/>
      <c r="CA19" s="80"/>
      <c r="CB19" s="80"/>
    </row>
    <row r="20" spans="1:80" x14ac:dyDescent="0.25">
      <c r="A20" s="19"/>
      <c r="B20" s="143" t="s">
        <v>248</v>
      </c>
      <c r="C20" s="142">
        <v>3349.5833333333335</v>
      </c>
      <c r="D20" s="128">
        <v>11.223233307552055</v>
      </c>
      <c r="F20" s="19"/>
      <c r="G20" s="19"/>
      <c r="H20" s="19"/>
      <c r="I20" s="19"/>
      <c r="J20" s="16"/>
      <c r="K20" s="16"/>
      <c r="L20" s="16"/>
    </row>
    <row r="21" spans="1:80" x14ac:dyDescent="0.25">
      <c r="A21" s="19"/>
      <c r="B21" s="143" t="s">
        <v>249</v>
      </c>
      <c r="C21" s="142">
        <v>321.91666666666669</v>
      </c>
      <c r="D21" s="128">
        <v>8.0846343811477119</v>
      </c>
      <c r="F21" s="19"/>
      <c r="G21" s="19"/>
      <c r="H21" s="19"/>
      <c r="I21" s="19"/>
      <c r="J21" s="16"/>
      <c r="K21" s="16"/>
      <c r="L21" s="16"/>
    </row>
    <row r="22" spans="1:80" x14ac:dyDescent="0.25">
      <c r="A22" s="28"/>
      <c r="B22" s="144" t="s">
        <v>250</v>
      </c>
      <c r="C22" s="142">
        <v>365.5</v>
      </c>
      <c r="D22" s="128">
        <v>5.8788049378744622</v>
      </c>
      <c r="F22" s="19"/>
      <c r="G22" s="19"/>
      <c r="H22" s="19"/>
      <c r="I22" s="19"/>
    </row>
    <row r="23" spans="1:80" x14ac:dyDescent="0.25">
      <c r="A23" s="102"/>
      <c r="B23" s="135" t="s">
        <v>251</v>
      </c>
      <c r="C23" s="145">
        <v>639.91666666666663</v>
      </c>
      <c r="D23" s="129">
        <v>8.5661059301235998</v>
      </c>
      <c r="F23" s="19"/>
      <c r="G23" s="19"/>
      <c r="H23" s="19"/>
      <c r="I23" s="19"/>
      <c r="J23" s="16"/>
      <c r="K23" s="16"/>
      <c r="L23" s="16"/>
    </row>
    <row r="24" spans="1:80" x14ac:dyDescent="0.25">
      <c r="A24" s="15"/>
      <c r="B24" s="146" t="s">
        <v>252</v>
      </c>
      <c r="C24" s="147">
        <v>1722.5</v>
      </c>
      <c r="D24" s="118">
        <v>4.4505785536803932</v>
      </c>
      <c r="F24" s="16"/>
      <c r="G24" s="16"/>
      <c r="I24" s="16"/>
      <c r="J24" s="16"/>
      <c r="K24" s="16"/>
      <c r="L24" s="16"/>
    </row>
    <row r="25" spans="1:80" x14ac:dyDescent="0.25">
      <c r="A25" s="11"/>
      <c r="B25" s="146" t="s">
        <v>253</v>
      </c>
      <c r="C25" s="147">
        <v>1389.75</v>
      </c>
      <c r="D25" s="118">
        <v>11.648634112609749</v>
      </c>
    </row>
    <row r="26" spans="1:80" x14ac:dyDescent="0.25">
      <c r="A26" s="11"/>
      <c r="B26" s="146" t="s">
        <v>254</v>
      </c>
      <c r="C26" s="147">
        <v>319.08333333333331</v>
      </c>
      <c r="D26" s="118">
        <v>7.1375312232039665</v>
      </c>
      <c r="F26" s="16"/>
      <c r="G26" s="16"/>
      <c r="I26" s="16"/>
      <c r="J26" s="16"/>
      <c r="K26" s="16"/>
      <c r="L26" s="16"/>
    </row>
    <row r="27" spans="1:80" x14ac:dyDescent="0.25">
      <c r="A27" s="11"/>
      <c r="B27" s="146" t="s">
        <v>255</v>
      </c>
      <c r="C27" s="147">
        <v>105.66666666666667</v>
      </c>
      <c r="D27" s="118">
        <v>6.2959285004965251</v>
      </c>
      <c r="F27" s="16"/>
      <c r="G27" s="16"/>
      <c r="I27" s="16"/>
      <c r="J27" s="16"/>
      <c r="K27" s="16"/>
      <c r="L27" s="16"/>
    </row>
    <row r="28" spans="1:80" x14ac:dyDescent="0.25">
      <c r="A28" s="11"/>
      <c r="B28" s="146" t="s">
        <v>256</v>
      </c>
      <c r="C28" s="147">
        <v>878.66666666666663</v>
      </c>
      <c r="D28" s="118">
        <v>3.8663923816229016</v>
      </c>
      <c r="F28" s="16"/>
      <c r="G28" s="16"/>
      <c r="I28" s="16"/>
      <c r="J28" s="16"/>
      <c r="K28" s="16"/>
      <c r="L28" s="16"/>
    </row>
    <row r="29" spans="1:80" x14ac:dyDescent="0.25">
      <c r="A29" s="11"/>
      <c r="B29" s="146" t="s">
        <v>257</v>
      </c>
      <c r="C29" s="147">
        <v>856.66666666666663</v>
      </c>
      <c r="D29" s="118">
        <v>10.602310231023102</v>
      </c>
    </row>
    <row r="30" spans="1:80" x14ac:dyDescent="0.25">
      <c r="A30" s="11"/>
      <c r="B30" s="89" t="s">
        <v>258</v>
      </c>
      <c r="C30" s="147">
        <v>1063.75</v>
      </c>
      <c r="D30" s="118">
        <v>6.0654873059542984</v>
      </c>
      <c r="F30" s="16"/>
      <c r="G30" s="16"/>
      <c r="I30" s="16"/>
      <c r="J30" s="16"/>
      <c r="K30" s="16"/>
      <c r="L30" s="16"/>
    </row>
    <row r="31" spans="1:80" x14ac:dyDescent="0.25">
      <c r="A31" s="11"/>
      <c r="B31" s="146" t="s">
        <v>259</v>
      </c>
      <c r="C31" s="147">
        <v>689.58333333333337</v>
      </c>
      <c r="D31" s="118">
        <v>5.8087295904757896</v>
      </c>
      <c r="F31" s="16"/>
      <c r="G31" s="16"/>
      <c r="I31" s="16"/>
      <c r="J31" s="16"/>
      <c r="K31" s="16"/>
      <c r="L31" s="16"/>
    </row>
    <row r="32" spans="1:80" x14ac:dyDescent="0.25">
      <c r="B32" s="117" t="s">
        <v>260</v>
      </c>
      <c r="C32" s="147">
        <v>492.66666666666669</v>
      </c>
      <c r="D32" s="118">
        <v>14.29607776756783</v>
      </c>
    </row>
    <row r="33" spans="1:4" x14ac:dyDescent="0.25">
      <c r="B33" s="117" t="s">
        <v>261</v>
      </c>
      <c r="C33" s="147">
        <v>1431.75</v>
      </c>
      <c r="D33" s="118">
        <v>18.609462328321996</v>
      </c>
    </row>
    <row r="34" spans="1:4" x14ac:dyDescent="0.25">
      <c r="A34" s="8"/>
      <c r="B34" s="117" t="s">
        <v>262</v>
      </c>
      <c r="C34" s="147">
        <v>360.25</v>
      </c>
      <c r="D34" s="118">
        <v>5.4210975120385241</v>
      </c>
    </row>
    <row r="35" spans="1:4" x14ac:dyDescent="0.25">
      <c r="B35" s="117" t="s">
        <v>263</v>
      </c>
      <c r="C35" s="147">
        <v>126.08333333333333</v>
      </c>
      <c r="D35" s="118">
        <v>6.0206923995224839</v>
      </c>
    </row>
    <row r="36" spans="1:4" x14ac:dyDescent="0.25">
      <c r="B36" s="117" t="s">
        <v>264</v>
      </c>
      <c r="C36" s="147">
        <v>162.83333333333334</v>
      </c>
      <c r="D36" s="118">
        <v>12.430025445292621</v>
      </c>
    </row>
    <row r="37" spans="1:4" x14ac:dyDescent="0.25">
      <c r="B37" s="117" t="s">
        <v>265</v>
      </c>
      <c r="C37" s="147">
        <v>46.333333333333336</v>
      </c>
      <c r="D37" s="118">
        <v>9.2558681538205434</v>
      </c>
    </row>
    <row r="38" spans="1:4" x14ac:dyDescent="0.25">
      <c r="B38" s="117" t="s">
        <v>266</v>
      </c>
      <c r="C38" s="147">
        <v>17.166666666666668</v>
      </c>
      <c r="D38" s="118">
        <v>5.2915489339840738</v>
      </c>
    </row>
    <row r="39" spans="1:4" x14ac:dyDescent="0.25">
      <c r="B39" s="117" t="s">
        <v>267</v>
      </c>
      <c r="C39" s="147">
        <v>3871.5833333333335</v>
      </c>
      <c r="D39" s="118">
        <v>32.035829046627413</v>
      </c>
    </row>
    <row r="40" spans="1:4" x14ac:dyDescent="0.25">
      <c r="B40" s="117" t="s">
        <v>268</v>
      </c>
      <c r="C40" s="147">
        <v>121.16666666666667</v>
      </c>
      <c r="D40" s="118">
        <v>4.433737878880283</v>
      </c>
    </row>
    <row r="41" spans="1:4" x14ac:dyDescent="0.25">
      <c r="B41" s="117" t="s">
        <v>269</v>
      </c>
      <c r="C41" s="147">
        <v>296.5</v>
      </c>
      <c r="D41" s="118">
        <v>31.425543190249073</v>
      </c>
    </row>
    <row r="42" spans="1:4" x14ac:dyDescent="0.25">
      <c r="B42" s="117" t="s">
        <v>270</v>
      </c>
      <c r="C42" s="147">
        <v>1369.75</v>
      </c>
      <c r="D42" s="118">
        <v>48.906542890297246</v>
      </c>
    </row>
    <row r="43" spans="1:4" x14ac:dyDescent="0.25">
      <c r="B43" s="117" t="s">
        <v>271</v>
      </c>
      <c r="C43" s="147">
        <v>87.583333333333329</v>
      </c>
      <c r="D43" s="118">
        <v>7.5092883681051728</v>
      </c>
    </row>
    <row r="44" spans="1:4" x14ac:dyDescent="0.25">
      <c r="B44" s="117" t="s">
        <v>272</v>
      </c>
      <c r="C44" s="147">
        <v>554.5</v>
      </c>
      <c r="D44" s="118">
        <v>19.721398933017191</v>
      </c>
    </row>
    <row r="45" spans="1:4" x14ac:dyDescent="0.25">
      <c r="B45" s="117" t="s">
        <v>273</v>
      </c>
      <c r="C45" s="147">
        <v>15711.916666666666</v>
      </c>
      <c r="D45" s="118">
        <v>76.115022526523163</v>
      </c>
    </row>
    <row r="46" spans="1:4" x14ac:dyDescent="0.25">
      <c r="B46" s="117" t="s">
        <v>274</v>
      </c>
      <c r="C46" s="147">
        <v>77.583333333333329</v>
      </c>
      <c r="D46" s="118">
        <v>9.1805541859777122</v>
      </c>
    </row>
    <row r="47" spans="1:4" x14ac:dyDescent="0.25">
      <c r="B47" s="117" t="s">
        <v>275</v>
      </c>
      <c r="C47" s="147">
        <v>1012.5</v>
      </c>
      <c r="D47" s="118">
        <v>28.477007453241459</v>
      </c>
    </row>
    <row r="48" spans="1:4" x14ac:dyDescent="0.25">
      <c r="B48" s="117" t="s">
        <v>276</v>
      </c>
      <c r="C48" s="147">
        <v>142.25</v>
      </c>
      <c r="D48" s="118">
        <v>12.25676743017161</v>
      </c>
    </row>
    <row r="49" spans="2:4" x14ac:dyDescent="0.25">
      <c r="B49" s="117" t="s">
        <v>277</v>
      </c>
      <c r="C49" s="147">
        <v>395.58333333333331</v>
      </c>
      <c r="D49" s="118">
        <v>8.2383158917755672</v>
      </c>
    </row>
    <row r="50" spans="2:4" x14ac:dyDescent="0.25">
      <c r="B50" s="117" t="s">
        <v>278</v>
      </c>
      <c r="C50" s="147">
        <v>4280.833333333333</v>
      </c>
      <c r="D50" s="118">
        <v>9.6862938094079798</v>
      </c>
    </row>
    <row r="51" spans="2:4" x14ac:dyDescent="0.25">
      <c r="B51" s="117" t="s">
        <v>279</v>
      </c>
      <c r="C51" s="147">
        <v>8791</v>
      </c>
      <c r="D51" s="118">
        <v>12.247343111827304</v>
      </c>
    </row>
    <row r="52" spans="2:4" x14ac:dyDescent="0.25">
      <c r="B52" s="117" t="s">
        <v>280</v>
      </c>
      <c r="C52" s="147">
        <v>175.41666666666666</v>
      </c>
      <c r="D52" s="118">
        <v>5.5529175899546264</v>
      </c>
    </row>
    <row r="53" spans="2:4" x14ac:dyDescent="0.25">
      <c r="B53" s="117" t="s">
        <v>281</v>
      </c>
      <c r="C53" s="147">
        <v>193.08333333333334</v>
      </c>
      <c r="D53" s="118">
        <v>5.2483747480009972</v>
      </c>
    </row>
    <row r="54" spans="2:4" x14ac:dyDescent="0.25">
      <c r="B54" s="117" t="s">
        <v>282</v>
      </c>
      <c r="C54" s="147">
        <v>1521.6666666666667</v>
      </c>
      <c r="D54" s="118">
        <v>13.420056590600083</v>
      </c>
    </row>
    <row r="55" spans="2:4" x14ac:dyDescent="0.25">
      <c r="B55" s="117" t="s">
        <v>283</v>
      </c>
      <c r="C55" s="147">
        <v>494.41666666666669</v>
      </c>
      <c r="D55" s="118">
        <v>3.948436730510708</v>
      </c>
    </row>
    <row r="56" spans="2:4" x14ac:dyDescent="0.25">
      <c r="B56" s="117" t="s">
        <v>284</v>
      </c>
      <c r="C56" s="147">
        <v>3456.5</v>
      </c>
      <c r="D56" s="118">
        <v>5.8736731202773278</v>
      </c>
    </row>
    <row r="57" spans="2:4" x14ac:dyDescent="0.25">
      <c r="B57" s="117" t="s">
        <v>285</v>
      </c>
      <c r="C57" s="147">
        <v>255.75</v>
      </c>
      <c r="D57" s="118">
        <v>4.4454422990570279</v>
      </c>
    </row>
    <row r="58" spans="2:4" x14ac:dyDescent="0.25">
      <c r="B58" s="117" t="s">
        <v>286</v>
      </c>
      <c r="C58" s="147">
        <v>90.833333333333329</v>
      </c>
      <c r="D58" s="118">
        <v>7.4301295160190861</v>
      </c>
    </row>
    <row r="59" spans="2:4" x14ac:dyDescent="0.25">
      <c r="B59" s="117" t="s">
        <v>287</v>
      </c>
      <c r="C59" s="147">
        <v>97.666666666666671</v>
      </c>
      <c r="D59" s="118">
        <v>5.5977456178057983</v>
      </c>
    </row>
    <row r="60" spans="2:4" x14ac:dyDescent="0.25">
      <c r="B60" s="117" t="s">
        <v>288</v>
      </c>
      <c r="C60" s="147">
        <v>3713.6666666666665</v>
      </c>
      <c r="D60" s="118">
        <v>7.3161161739621523</v>
      </c>
    </row>
    <row r="61" spans="2:4" x14ac:dyDescent="0.25">
      <c r="B61" s="117" t="s">
        <v>289</v>
      </c>
      <c r="C61" s="147">
        <v>1237.5</v>
      </c>
      <c r="D61" s="118">
        <v>10.573383553938497</v>
      </c>
    </row>
    <row r="62" spans="2:4" x14ac:dyDescent="0.25">
      <c r="B62" s="117" t="s">
        <v>290</v>
      </c>
      <c r="C62" s="147">
        <v>274.16666666666669</v>
      </c>
      <c r="D62" s="118">
        <v>3.7695207323640281</v>
      </c>
    </row>
    <row r="63" spans="2:4" x14ac:dyDescent="0.25">
      <c r="B63" s="117" t="s">
        <v>291</v>
      </c>
      <c r="C63" s="147">
        <v>19.416666666666668</v>
      </c>
      <c r="D63" s="118">
        <v>3.0811954509389055</v>
      </c>
    </row>
    <row r="64" spans="2:4" x14ac:dyDescent="0.25">
      <c r="B64" s="117" t="s">
        <v>292</v>
      </c>
      <c r="C64" s="147">
        <v>624.91666666666663</v>
      </c>
      <c r="D64" s="118">
        <v>7.2673179051827725</v>
      </c>
    </row>
    <row r="65" spans="2:4" x14ac:dyDescent="0.25">
      <c r="B65" s="117" t="s">
        <v>293</v>
      </c>
      <c r="C65" s="147">
        <v>116.83333333333333</v>
      </c>
      <c r="D65" s="118">
        <v>12.563849807330406</v>
      </c>
    </row>
    <row r="66" spans="2:4" x14ac:dyDescent="0.25">
      <c r="B66" s="117" t="s">
        <v>294</v>
      </c>
      <c r="C66" s="147">
        <v>27.166666666666668</v>
      </c>
      <c r="D66" s="118">
        <v>3.8878950506857484</v>
      </c>
    </row>
    <row r="67" spans="2:4" x14ac:dyDescent="0.25">
      <c r="B67" s="117" t="s">
        <v>295</v>
      </c>
      <c r="C67" s="147">
        <v>146.08333333333334</v>
      </c>
      <c r="D67" s="118">
        <v>6.8934329532048766</v>
      </c>
    </row>
    <row r="68" spans="2:4" x14ac:dyDescent="0.25">
      <c r="B68" s="117" t="s">
        <v>296</v>
      </c>
      <c r="C68" s="147">
        <v>85.416666666666671</v>
      </c>
      <c r="D68" s="118">
        <v>7.1864264180046282</v>
      </c>
    </row>
    <row r="69" spans="2:4" x14ac:dyDescent="0.25">
      <c r="B69" s="117" t="s">
        <v>297</v>
      </c>
      <c r="C69" s="147">
        <v>182.41666666666666</v>
      </c>
      <c r="D69" s="118">
        <v>5.184255399772641</v>
      </c>
    </row>
    <row r="70" spans="2:4" x14ac:dyDescent="0.25">
      <c r="B70" s="117" t="s">
        <v>298</v>
      </c>
      <c r="C70" s="147">
        <v>96.75</v>
      </c>
      <c r="D70" s="118">
        <v>7.9986221150533927</v>
      </c>
    </row>
    <row r="71" spans="2:4" x14ac:dyDescent="0.25">
      <c r="B71" s="117" t="s">
        <v>299</v>
      </c>
      <c r="C71" s="147">
        <v>37.833333333333336</v>
      </c>
      <c r="D71" s="118">
        <v>3.7295654316930915</v>
      </c>
    </row>
    <row r="72" spans="2:4" x14ac:dyDescent="0.25">
      <c r="B72" s="117" t="s">
        <v>300</v>
      </c>
      <c r="C72" s="147">
        <v>128.58333333333334</v>
      </c>
      <c r="D72" s="118">
        <v>10.12865957726139</v>
      </c>
    </row>
    <row r="73" spans="2:4" x14ac:dyDescent="0.25">
      <c r="B73" s="117" t="s">
        <v>301</v>
      </c>
      <c r="C73" s="147">
        <v>45.166666666666664</v>
      </c>
      <c r="D73" s="118">
        <v>8.4647821333749782</v>
      </c>
    </row>
    <row r="74" spans="2:4" x14ac:dyDescent="0.25">
      <c r="B74" s="117" t="s">
        <v>302</v>
      </c>
      <c r="C74" s="147">
        <v>19.333333333333332</v>
      </c>
      <c r="D74" s="118">
        <v>2.4488072619801562</v>
      </c>
    </row>
    <row r="75" spans="2:4" x14ac:dyDescent="0.25">
      <c r="B75" s="117" t="s">
        <v>303</v>
      </c>
      <c r="C75" s="147">
        <v>49.416666666666664</v>
      </c>
      <c r="D75" s="118">
        <v>3.5494104267672228</v>
      </c>
    </row>
    <row r="76" spans="2:4" x14ac:dyDescent="0.25">
      <c r="B76" s="117" t="s">
        <v>304</v>
      </c>
      <c r="C76" s="147">
        <v>1242.1666666666667</v>
      </c>
      <c r="D76" s="118">
        <v>11.076186866998077</v>
      </c>
    </row>
    <row r="77" spans="2:4" x14ac:dyDescent="0.25">
      <c r="B77" s="117" t="s">
        <v>305</v>
      </c>
      <c r="C77" s="147">
        <v>1486.0833333333333</v>
      </c>
      <c r="D77" s="118">
        <v>11.969099012027492</v>
      </c>
    </row>
    <row r="78" spans="2:4" x14ac:dyDescent="0.25">
      <c r="B78" s="117" t="s">
        <v>306</v>
      </c>
      <c r="C78" s="147">
        <v>670.08333333333337</v>
      </c>
      <c r="D78" s="118">
        <v>9.5830006316366543</v>
      </c>
    </row>
    <row r="79" spans="2:4" x14ac:dyDescent="0.25">
      <c r="B79" s="117" t="s">
        <v>307</v>
      </c>
      <c r="C79" s="147">
        <v>243</v>
      </c>
      <c r="D79" s="118">
        <v>13.55207510340661</v>
      </c>
    </row>
    <row r="80" spans="2:4" x14ac:dyDescent="0.25">
      <c r="B80" s="117" t="s">
        <v>308</v>
      </c>
      <c r="C80" s="147">
        <v>83.5</v>
      </c>
      <c r="D80" s="118">
        <v>8.4958453450907232</v>
      </c>
    </row>
    <row r="81" spans="2:4" x14ac:dyDescent="0.25">
      <c r="B81" s="117" t="s">
        <v>309</v>
      </c>
      <c r="C81" s="147">
        <v>20.166666666666668</v>
      </c>
      <c r="D81" s="118">
        <v>2.8656009473060986</v>
      </c>
    </row>
    <row r="82" spans="2:4" x14ac:dyDescent="0.25">
      <c r="B82" s="117" t="s">
        <v>310</v>
      </c>
      <c r="C82" s="147">
        <v>136.16666666666666</v>
      </c>
      <c r="D82" s="118">
        <v>9.905431619786615</v>
      </c>
    </row>
    <row r="83" spans="2:4" x14ac:dyDescent="0.25">
      <c r="B83" s="117" t="s">
        <v>311</v>
      </c>
      <c r="C83" s="147">
        <v>221.91666666666666</v>
      </c>
      <c r="D83" s="118">
        <v>6.4207353827606992</v>
      </c>
    </row>
    <row r="84" spans="2:4" x14ac:dyDescent="0.25">
      <c r="B84" s="117" t="s">
        <v>312</v>
      </c>
      <c r="C84" s="147">
        <v>88.083333333333329</v>
      </c>
      <c r="D84" s="118">
        <v>11.011563704552557</v>
      </c>
    </row>
    <row r="85" spans="2:4" x14ac:dyDescent="0.25">
      <c r="B85" s="117" t="s">
        <v>313</v>
      </c>
      <c r="C85" s="147">
        <v>134.66666666666666</v>
      </c>
      <c r="D85" s="118">
        <v>11.630919821505687</v>
      </c>
    </row>
    <row r="86" spans="2:4" x14ac:dyDescent="0.25">
      <c r="B86" s="117" t="s">
        <v>314</v>
      </c>
      <c r="C86" s="147">
        <v>122.66666666666667</v>
      </c>
      <c r="D86" s="118">
        <v>4.9614075297448519</v>
      </c>
    </row>
    <row r="87" spans="2:4" x14ac:dyDescent="0.25">
      <c r="B87" s="117" t="s">
        <v>315</v>
      </c>
      <c r="C87" s="147">
        <v>670.25</v>
      </c>
      <c r="D87" s="118">
        <v>7.7774769373585784</v>
      </c>
    </row>
    <row r="88" spans="2:4" x14ac:dyDescent="0.25">
      <c r="B88" s="117" t="s">
        <v>316</v>
      </c>
      <c r="C88" s="147">
        <v>3698.25</v>
      </c>
      <c r="D88" s="118">
        <v>7.9857412259234737</v>
      </c>
    </row>
    <row r="89" spans="2:4" x14ac:dyDescent="0.25">
      <c r="B89" s="117" t="s">
        <v>317</v>
      </c>
      <c r="C89" s="147">
        <v>309.08333333333331</v>
      </c>
      <c r="D89" s="118">
        <v>10.531845415566345</v>
      </c>
    </row>
    <row r="90" spans="2:4" x14ac:dyDescent="0.25">
      <c r="B90" s="117" t="s">
        <v>318</v>
      </c>
      <c r="C90" s="147">
        <v>2307.1666666666665</v>
      </c>
      <c r="D90" s="118">
        <v>14.453365630579365</v>
      </c>
    </row>
    <row r="91" spans="2:4" x14ac:dyDescent="0.25">
      <c r="B91" s="117" t="s">
        <v>319</v>
      </c>
      <c r="C91" s="147">
        <v>21.5</v>
      </c>
      <c r="D91" s="118">
        <v>3.0835424883470779</v>
      </c>
    </row>
    <row r="92" spans="2:4" x14ac:dyDescent="0.25">
      <c r="B92" s="117" t="s">
        <v>320</v>
      </c>
      <c r="C92" s="147">
        <v>177.41666666666666</v>
      </c>
      <c r="D92" s="118">
        <v>4.9057560256233002</v>
      </c>
    </row>
    <row r="93" spans="2:4" x14ac:dyDescent="0.25">
      <c r="B93" s="117" t="s">
        <v>321</v>
      </c>
      <c r="C93" s="147">
        <v>260.08333333333331</v>
      </c>
      <c r="D93" s="118">
        <v>9.5460940845415045</v>
      </c>
    </row>
    <row r="94" spans="2:4" x14ac:dyDescent="0.25">
      <c r="B94" s="117" t="s">
        <v>322</v>
      </c>
      <c r="C94" s="147">
        <v>85.333333333333329</v>
      </c>
      <c r="D94" s="118">
        <v>5.9548732263317046</v>
      </c>
    </row>
    <row r="95" spans="2:4" x14ac:dyDescent="0.25">
      <c r="B95" s="117" t="s">
        <v>323</v>
      </c>
      <c r="C95" s="147">
        <v>455.33333333333331</v>
      </c>
      <c r="D95" s="118">
        <v>10.754846963881509</v>
      </c>
    </row>
    <row r="96" spans="2:4" x14ac:dyDescent="0.25">
      <c r="B96" s="117" t="s">
        <v>324</v>
      </c>
      <c r="C96" s="147">
        <v>326.25</v>
      </c>
      <c r="D96" s="118">
        <v>6.5097021998303983</v>
      </c>
    </row>
    <row r="97" spans="2:4" x14ac:dyDescent="0.25">
      <c r="B97" s="117" t="s">
        <v>325</v>
      </c>
      <c r="C97" s="147">
        <v>42.75</v>
      </c>
      <c r="D97" s="118">
        <v>4.7930486779407646</v>
      </c>
    </row>
    <row r="98" spans="2:4" x14ac:dyDescent="0.25">
      <c r="B98" s="117" t="s">
        <v>326</v>
      </c>
      <c r="C98" s="147">
        <v>259.25</v>
      </c>
      <c r="D98" s="118">
        <v>9.6208560118753095</v>
      </c>
    </row>
    <row r="99" spans="2:4" x14ac:dyDescent="0.25">
      <c r="B99" s="117" t="s">
        <v>327</v>
      </c>
      <c r="C99" s="147">
        <v>175.58333333333334</v>
      </c>
      <c r="D99" s="118">
        <v>8.1850672053453497</v>
      </c>
    </row>
    <row r="100" spans="2:4" x14ac:dyDescent="0.25">
      <c r="B100" s="117" t="s">
        <v>328</v>
      </c>
      <c r="C100" s="147">
        <v>190.58333333333334</v>
      </c>
      <c r="D100" s="118">
        <v>7.3745646846382042</v>
      </c>
    </row>
    <row r="101" spans="2:4" x14ac:dyDescent="0.25">
      <c r="B101" s="117" t="s">
        <v>329</v>
      </c>
      <c r="C101" s="147">
        <v>231.41666666666666</v>
      </c>
      <c r="D101" s="118">
        <v>5.2533010480118039</v>
      </c>
    </row>
    <row r="102" spans="2:4" x14ac:dyDescent="0.25">
      <c r="B102" s="117" t="s">
        <v>330</v>
      </c>
      <c r="C102" s="147">
        <v>160.33333333333334</v>
      </c>
      <c r="D102" s="118">
        <v>6.5513484064287653</v>
      </c>
    </row>
    <row r="103" spans="2:4" x14ac:dyDescent="0.25">
      <c r="B103" s="117" t="s">
        <v>331</v>
      </c>
      <c r="C103" s="147">
        <v>46.75</v>
      </c>
      <c r="D103" s="118">
        <v>5.6330956923385882</v>
      </c>
    </row>
    <row r="104" spans="2:4" x14ac:dyDescent="0.25">
      <c r="B104" s="117" t="s">
        <v>332</v>
      </c>
      <c r="C104" s="147">
        <v>92.916666666666671</v>
      </c>
      <c r="D104" s="118">
        <v>6.3776239775782191</v>
      </c>
    </row>
    <row r="105" spans="2:4" x14ac:dyDescent="0.25">
      <c r="B105" s="117" t="s">
        <v>333</v>
      </c>
      <c r="C105" s="147">
        <v>56.666666666666664</v>
      </c>
      <c r="D105" s="118">
        <v>5.4122890799108561</v>
      </c>
    </row>
    <row r="106" spans="2:4" x14ac:dyDescent="0.25">
      <c r="B106" s="117" t="s">
        <v>334</v>
      </c>
      <c r="C106" s="147">
        <v>185.83333333333334</v>
      </c>
      <c r="D106" s="118">
        <v>6.1485014750889198</v>
      </c>
    </row>
    <row r="107" spans="2:4" x14ac:dyDescent="0.25">
      <c r="B107" s="117" t="s">
        <v>335</v>
      </c>
      <c r="C107" s="147">
        <v>2765.5833333333335</v>
      </c>
      <c r="D107" s="118">
        <v>13.776198521384305</v>
      </c>
    </row>
    <row r="108" spans="2:4" x14ac:dyDescent="0.25">
      <c r="B108" s="117" t="s">
        <v>336</v>
      </c>
      <c r="C108" s="147">
        <v>319.25</v>
      </c>
      <c r="D108" s="118">
        <v>9.2317702057930511</v>
      </c>
    </row>
    <row r="109" spans="2:4" x14ac:dyDescent="0.25">
      <c r="B109" s="117" t="s">
        <v>337</v>
      </c>
      <c r="C109" s="147">
        <v>73.666666666666671</v>
      </c>
      <c r="D109" s="118">
        <v>6.9154345615270287</v>
      </c>
    </row>
    <row r="110" spans="2:4" x14ac:dyDescent="0.25">
      <c r="B110" s="117" t="s">
        <v>338</v>
      </c>
      <c r="C110" s="147">
        <v>154.91666666666666</v>
      </c>
      <c r="D110" s="118">
        <v>25.992729306487693</v>
      </c>
    </row>
    <row r="111" spans="2:4" x14ac:dyDescent="0.25">
      <c r="B111" s="117" t="s">
        <v>339</v>
      </c>
      <c r="C111" s="147">
        <v>85.833333333333329</v>
      </c>
      <c r="D111" s="118">
        <v>9.0430201931518877</v>
      </c>
    </row>
    <row r="112" spans="2:4" x14ac:dyDescent="0.25">
      <c r="B112" s="117" t="s">
        <v>340</v>
      </c>
      <c r="C112" s="147">
        <v>75.083333333333329</v>
      </c>
      <c r="D112" s="118">
        <v>5.6763056763056765</v>
      </c>
    </row>
    <row r="113" spans="2:4" x14ac:dyDescent="0.25">
      <c r="B113" s="117" t="s">
        <v>341</v>
      </c>
      <c r="C113" s="147">
        <v>266.91666666666669</v>
      </c>
      <c r="D113" s="118">
        <v>10.640135534664319</v>
      </c>
    </row>
    <row r="114" spans="2:4" x14ac:dyDescent="0.25">
      <c r="B114" s="117" t="s">
        <v>342</v>
      </c>
      <c r="C114" s="147">
        <v>751.41666666666663</v>
      </c>
      <c r="D114" s="118">
        <v>23.211573609287719</v>
      </c>
    </row>
    <row r="115" spans="2:4" x14ac:dyDescent="0.25">
      <c r="B115" s="117" t="s">
        <v>343</v>
      </c>
      <c r="C115" s="147">
        <v>71.333333333333329</v>
      </c>
      <c r="D115" s="118">
        <v>7.2913117546848376</v>
      </c>
    </row>
    <row r="116" spans="2:4" x14ac:dyDescent="0.25">
      <c r="B116" s="117" t="s">
        <v>344</v>
      </c>
      <c r="C116" s="147">
        <v>55.333333333333336</v>
      </c>
      <c r="D116" s="118">
        <v>3.5096992441460966</v>
      </c>
    </row>
    <row r="117" spans="2:4" x14ac:dyDescent="0.25">
      <c r="B117" s="117" t="s">
        <v>345</v>
      </c>
      <c r="C117" s="147">
        <v>6700.166666666667</v>
      </c>
      <c r="D117" s="118">
        <v>36.044525537628388</v>
      </c>
    </row>
    <row r="118" spans="2:4" x14ac:dyDescent="0.25">
      <c r="B118" s="117" t="s">
        <v>346</v>
      </c>
      <c r="C118" s="147">
        <v>63.083333333333336</v>
      </c>
      <c r="D118" s="118">
        <v>11.91188040912667</v>
      </c>
    </row>
    <row r="119" spans="2:4" x14ac:dyDescent="0.25">
      <c r="B119" s="117" t="s">
        <v>347</v>
      </c>
      <c r="C119" s="147">
        <v>595.16666666666663</v>
      </c>
      <c r="D119" s="118">
        <v>34.890083048363458</v>
      </c>
    </row>
    <row r="120" spans="2:4" x14ac:dyDescent="0.25">
      <c r="B120" s="117" t="s">
        <v>348</v>
      </c>
      <c r="C120" s="147">
        <v>255.75</v>
      </c>
      <c r="D120" s="118">
        <v>16.708405923344944</v>
      </c>
    </row>
    <row r="121" spans="2:4" x14ac:dyDescent="0.25">
      <c r="B121" s="117" t="s">
        <v>349</v>
      </c>
      <c r="C121" s="147">
        <v>6753.916666666667</v>
      </c>
      <c r="D121" s="118">
        <v>26.003022301505059</v>
      </c>
    </row>
    <row r="122" spans="2:4" x14ac:dyDescent="0.25">
      <c r="B122" s="117" t="s">
        <v>350</v>
      </c>
      <c r="C122" s="147">
        <v>2442.5</v>
      </c>
      <c r="D122" s="118">
        <v>26.505217847389268</v>
      </c>
    </row>
    <row r="123" spans="2:4" x14ac:dyDescent="0.25">
      <c r="B123" s="117" t="s">
        <v>351</v>
      </c>
      <c r="C123" s="147">
        <v>3102.9166666666665</v>
      </c>
      <c r="D123" s="118">
        <v>30.221497155194104</v>
      </c>
    </row>
    <row r="124" spans="2:4" x14ac:dyDescent="0.25">
      <c r="B124" s="117" t="s">
        <v>352</v>
      </c>
      <c r="C124" s="147">
        <v>10568.666666666666</v>
      </c>
      <c r="D124" s="118">
        <v>32.798264193297285</v>
      </c>
    </row>
    <row r="125" spans="2:4" x14ac:dyDescent="0.25">
      <c r="B125" s="117" t="s">
        <v>353</v>
      </c>
      <c r="C125" s="147">
        <v>185.41666666666666</v>
      </c>
      <c r="D125" s="118">
        <v>16.582203010880907</v>
      </c>
    </row>
    <row r="126" spans="2:4" x14ac:dyDescent="0.25">
      <c r="B126" s="117" t="s">
        <v>354</v>
      </c>
      <c r="C126" s="147">
        <v>1864.6666666666667</v>
      </c>
      <c r="D126" s="118">
        <v>21.617235049753646</v>
      </c>
    </row>
    <row r="127" spans="2:4" x14ac:dyDescent="0.25">
      <c r="B127" s="117" t="s">
        <v>355</v>
      </c>
      <c r="C127" s="147">
        <v>4592.25</v>
      </c>
      <c r="D127" s="118">
        <v>28.956287340195786</v>
      </c>
    </row>
    <row r="128" spans="2:4" x14ac:dyDescent="0.25">
      <c r="B128" s="117" t="s">
        <v>356</v>
      </c>
      <c r="C128" s="147">
        <v>384</v>
      </c>
      <c r="D128" s="118">
        <v>18.088321884200198</v>
      </c>
    </row>
    <row r="129" spans="2:4" x14ac:dyDescent="0.25">
      <c r="B129" s="117" t="s">
        <v>357</v>
      </c>
      <c r="C129" s="147">
        <v>2299.1666666666665</v>
      </c>
      <c r="D129" s="118">
        <v>29.014617730571036</v>
      </c>
    </row>
    <row r="130" spans="2:4" x14ac:dyDescent="0.25">
      <c r="B130" s="117" t="s">
        <v>358</v>
      </c>
      <c r="C130" s="147">
        <v>2248</v>
      </c>
      <c r="D130" s="118">
        <v>33.564345348446579</v>
      </c>
    </row>
    <row r="131" spans="2:4" x14ac:dyDescent="0.25">
      <c r="B131" s="117" t="s">
        <v>359</v>
      </c>
      <c r="C131" s="147">
        <v>762.75</v>
      </c>
      <c r="D131" s="118">
        <v>33.884940026654817</v>
      </c>
    </row>
    <row r="132" spans="2:4" x14ac:dyDescent="0.25">
      <c r="B132" s="117" t="s">
        <v>360</v>
      </c>
      <c r="C132" s="147">
        <v>893.41666666666663</v>
      </c>
      <c r="D132" s="118">
        <v>20.144303940173991</v>
      </c>
    </row>
    <row r="133" spans="2:4" x14ac:dyDescent="0.25">
      <c r="B133" s="117" t="s">
        <v>361</v>
      </c>
      <c r="C133" s="147">
        <v>80.75</v>
      </c>
      <c r="D133" s="118">
        <v>6.436399867153769</v>
      </c>
    </row>
    <row r="134" spans="2:4" x14ac:dyDescent="0.25">
      <c r="B134" s="117" t="s">
        <v>362</v>
      </c>
      <c r="C134" s="147">
        <v>65.333333333333329</v>
      </c>
      <c r="D134" s="118">
        <v>6.9111424541607889</v>
      </c>
    </row>
    <row r="135" spans="2:4" x14ac:dyDescent="0.25">
      <c r="B135" s="117" t="s">
        <v>363</v>
      </c>
      <c r="C135" s="147">
        <v>25.5</v>
      </c>
      <c r="D135" s="118">
        <v>1.966960210837565</v>
      </c>
    </row>
    <row r="136" spans="2:4" x14ac:dyDescent="0.25">
      <c r="B136" s="117" t="s">
        <v>364</v>
      </c>
      <c r="C136" s="147">
        <v>76.166666666666671</v>
      </c>
      <c r="D136" s="118">
        <v>7.5938850116317722</v>
      </c>
    </row>
    <row r="137" spans="2:4" x14ac:dyDescent="0.25">
      <c r="B137" s="117" t="s">
        <v>365</v>
      </c>
      <c r="C137" s="147">
        <v>45.75</v>
      </c>
      <c r="D137" s="118">
        <v>6.1991869918699187</v>
      </c>
    </row>
    <row r="138" spans="2:4" x14ac:dyDescent="0.25">
      <c r="B138" s="117" t="s">
        <v>366</v>
      </c>
      <c r="C138" s="147">
        <v>91.666666666666671</v>
      </c>
      <c r="D138" s="118">
        <v>4.5599635202918378</v>
      </c>
    </row>
    <row r="139" spans="2:4" x14ac:dyDescent="0.25">
      <c r="B139" s="117" t="s">
        <v>367</v>
      </c>
      <c r="C139" s="147">
        <v>586.5</v>
      </c>
      <c r="D139" s="118">
        <v>5.4493507700169568</v>
      </c>
    </row>
    <row r="140" spans="2:4" x14ac:dyDescent="0.25">
      <c r="B140" s="117" t="s">
        <v>368</v>
      </c>
      <c r="C140" s="147">
        <v>67.75</v>
      </c>
      <c r="D140" s="118">
        <v>10.175219023779725</v>
      </c>
    </row>
    <row r="141" spans="2:4" x14ac:dyDescent="0.25">
      <c r="B141" s="117" t="s">
        <v>369</v>
      </c>
      <c r="C141" s="147">
        <v>34.166666666666664</v>
      </c>
      <c r="D141" s="118">
        <v>4.2059909725071805</v>
      </c>
    </row>
    <row r="142" spans="2:4" x14ac:dyDescent="0.25">
      <c r="B142" s="117" t="s">
        <v>370</v>
      </c>
      <c r="C142" s="147">
        <v>87.916666666666671</v>
      </c>
      <c r="D142" s="118">
        <v>5.9936370866946946</v>
      </c>
    </row>
    <row r="143" spans="2:4" x14ac:dyDescent="0.25">
      <c r="B143" s="117" t="s">
        <v>371</v>
      </c>
      <c r="C143" s="147">
        <v>59.666666666666664</v>
      </c>
      <c r="D143" s="118">
        <v>3.2741905981342598</v>
      </c>
    </row>
    <row r="144" spans="2:4" x14ac:dyDescent="0.25">
      <c r="B144" s="117" t="s">
        <v>372</v>
      </c>
      <c r="C144" s="147">
        <v>333.75</v>
      </c>
      <c r="D144" s="118">
        <v>7.9634931997136729</v>
      </c>
    </row>
    <row r="145" spans="2:4" x14ac:dyDescent="0.25">
      <c r="B145" s="117" t="s">
        <v>373</v>
      </c>
      <c r="C145" s="147">
        <v>104.66666666666667</v>
      </c>
      <c r="D145" s="118">
        <v>5.7270530299575944</v>
      </c>
    </row>
    <row r="146" spans="2:4" x14ac:dyDescent="0.25">
      <c r="B146" s="117" t="s">
        <v>374</v>
      </c>
      <c r="C146" s="147">
        <v>71.833333333333329</v>
      </c>
      <c r="D146" s="118">
        <v>6.5671186957184213</v>
      </c>
    </row>
    <row r="147" spans="2:4" x14ac:dyDescent="0.25">
      <c r="B147" s="117" t="s">
        <v>375</v>
      </c>
      <c r="C147" s="147">
        <v>1909.75</v>
      </c>
      <c r="D147" s="118">
        <v>11.939855265008831</v>
      </c>
    </row>
    <row r="148" spans="2:4" x14ac:dyDescent="0.25">
      <c r="B148" s="117" t="s">
        <v>376</v>
      </c>
      <c r="C148" s="147">
        <v>126.5</v>
      </c>
      <c r="D148" s="118">
        <v>7.627757399125672</v>
      </c>
    </row>
    <row r="149" spans="2:4" x14ac:dyDescent="0.25">
      <c r="B149" s="117" t="s">
        <v>377</v>
      </c>
      <c r="C149" s="147">
        <v>308.33333333333331</v>
      </c>
      <c r="D149" s="118">
        <v>9.7982098405804763</v>
      </c>
    </row>
    <row r="150" spans="2:4" x14ac:dyDescent="0.25">
      <c r="B150" s="117" t="s">
        <v>378</v>
      </c>
      <c r="C150" s="147">
        <v>776.16666666666663</v>
      </c>
      <c r="D150" s="118">
        <v>12.693004810640646</v>
      </c>
    </row>
    <row r="151" spans="2:4" x14ac:dyDescent="0.25">
      <c r="B151" s="117" t="s">
        <v>379</v>
      </c>
      <c r="C151" s="147">
        <v>413.33333333333331</v>
      </c>
      <c r="D151" s="118">
        <v>14.898921630470696</v>
      </c>
    </row>
    <row r="152" spans="2:4" x14ac:dyDescent="0.25">
      <c r="B152" s="117" t="s">
        <v>380</v>
      </c>
      <c r="C152" s="147">
        <v>2450.9166666666665</v>
      </c>
      <c r="D152" s="118">
        <v>16.733042795534971</v>
      </c>
    </row>
    <row r="153" spans="2:4" x14ac:dyDescent="0.25">
      <c r="B153" s="117" t="s">
        <v>381</v>
      </c>
      <c r="C153" s="147">
        <v>42.083333333333336</v>
      </c>
      <c r="D153" s="118">
        <v>6.9828539823008864</v>
      </c>
    </row>
    <row r="154" spans="2:4" x14ac:dyDescent="0.25">
      <c r="B154" s="117" t="s">
        <v>382</v>
      </c>
      <c r="C154" s="147">
        <v>65.083333333333329</v>
      </c>
      <c r="D154" s="118">
        <v>6.742058011049723</v>
      </c>
    </row>
    <row r="155" spans="2:4" x14ac:dyDescent="0.25">
      <c r="B155" s="117" t="s">
        <v>383</v>
      </c>
      <c r="C155" s="147">
        <v>6112.916666666667</v>
      </c>
      <c r="D155" s="118">
        <v>13.087491993712721</v>
      </c>
    </row>
    <row r="156" spans="2:4" x14ac:dyDescent="0.25">
      <c r="B156" s="117" t="s">
        <v>384</v>
      </c>
      <c r="C156" s="147">
        <v>1491.1666666666667</v>
      </c>
      <c r="D156" s="118">
        <v>12.020852087224066</v>
      </c>
    </row>
    <row r="157" spans="2:4" x14ac:dyDescent="0.25">
      <c r="B157" s="117" t="s">
        <v>385</v>
      </c>
      <c r="C157" s="147">
        <v>635.41666666666663</v>
      </c>
      <c r="D157" s="118">
        <v>18.009400316493064</v>
      </c>
    </row>
    <row r="158" spans="2:4" x14ac:dyDescent="0.25">
      <c r="B158" s="117" t="s">
        <v>386</v>
      </c>
      <c r="C158" s="147">
        <v>528.41666666666663</v>
      </c>
      <c r="D158" s="118">
        <v>14.010163499779054</v>
      </c>
    </row>
    <row r="159" spans="2:4" x14ac:dyDescent="0.25">
      <c r="B159" s="117" t="s">
        <v>387</v>
      </c>
      <c r="C159" s="147">
        <v>35.5</v>
      </c>
      <c r="D159" s="118">
        <v>5.4433938154868393</v>
      </c>
    </row>
    <row r="160" spans="2:4" x14ac:dyDescent="0.25">
      <c r="B160" s="117" t="s">
        <v>388</v>
      </c>
      <c r="C160" s="147">
        <v>823.83333333333337</v>
      </c>
      <c r="D160" s="118">
        <v>13.937488545205904</v>
      </c>
    </row>
    <row r="161" spans="2:4" x14ac:dyDescent="0.25">
      <c r="B161" s="117" t="s">
        <v>389</v>
      </c>
      <c r="C161" s="147">
        <v>1657.5833333333333</v>
      </c>
      <c r="D161" s="118">
        <v>11.816318650310393</v>
      </c>
    </row>
    <row r="162" spans="2:4" x14ac:dyDescent="0.25">
      <c r="B162" s="117" t="s">
        <v>390</v>
      </c>
      <c r="C162" s="147">
        <v>843.58333333333337</v>
      </c>
      <c r="D162" s="118">
        <v>13.192842527791898</v>
      </c>
    </row>
    <row r="163" spans="2:4" x14ac:dyDescent="0.25">
      <c r="B163" s="117" t="s">
        <v>391</v>
      </c>
      <c r="C163" s="147">
        <v>2351.5833333333335</v>
      </c>
      <c r="D163" s="118">
        <v>19.447564833256379</v>
      </c>
    </row>
    <row r="164" spans="2:4" x14ac:dyDescent="0.25">
      <c r="B164" s="117" t="s">
        <v>392</v>
      </c>
      <c r="C164" s="147">
        <v>887.08333333333337</v>
      </c>
      <c r="D164" s="118">
        <v>17.417412503885991</v>
      </c>
    </row>
    <row r="165" spans="2:4" x14ac:dyDescent="0.25">
      <c r="B165" s="117" t="s">
        <v>393</v>
      </c>
      <c r="C165" s="147">
        <v>2086.25</v>
      </c>
      <c r="D165" s="118">
        <v>21.507916734679853</v>
      </c>
    </row>
    <row r="166" spans="2:4" x14ac:dyDescent="0.25">
      <c r="B166" s="117" t="s">
        <v>394</v>
      </c>
      <c r="C166" s="147">
        <v>365.83333333333331</v>
      </c>
      <c r="D166" s="118">
        <v>10.642940263770363</v>
      </c>
    </row>
    <row r="167" spans="2:4" x14ac:dyDescent="0.25">
      <c r="B167" s="117" t="s">
        <v>395</v>
      </c>
      <c r="C167" s="147">
        <v>11687.083333333334</v>
      </c>
      <c r="D167" s="118">
        <v>20.972438018815303</v>
      </c>
    </row>
    <row r="168" spans="2:4" x14ac:dyDescent="0.25">
      <c r="B168" s="117" t="s">
        <v>396</v>
      </c>
      <c r="C168" s="147">
        <v>135873.66666666666</v>
      </c>
      <c r="D168" s="118">
        <v>17.217696438631588</v>
      </c>
    </row>
    <row r="169" spans="2:4" x14ac:dyDescent="0.25">
      <c r="B169" s="117" t="s">
        <v>397</v>
      </c>
      <c r="C169" s="147">
        <v>12610.166666666666</v>
      </c>
      <c r="D169" s="118">
        <v>17.479626431636643</v>
      </c>
    </row>
    <row r="170" spans="2:4" x14ac:dyDescent="0.25">
      <c r="B170" s="117" t="s">
        <v>398</v>
      </c>
      <c r="C170" s="147">
        <v>1441.5</v>
      </c>
      <c r="D170" s="118">
        <v>19.405211967557015</v>
      </c>
    </row>
    <row r="171" spans="2:4" x14ac:dyDescent="0.25">
      <c r="B171" s="117" t="s">
        <v>399</v>
      </c>
      <c r="C171" s="147">
        <v>4957.25</v>
      </c>
      <c r="D171" s="118">
        <v>18.205327522677472</v>
      </c>
    </row>
    <row r="172" spans="2:4" x14ac:dyDescent="0.25">
      <c r="B172" s="117" t="s">
        <v>400</v>
      </c>
      <c r="C172" s="147">
        <v>19692.083333333332</v>
      </c>
      <c r="D172" s="118">
        <v>12.611569736288745</v>
      </c>
    </row>
    <row r="173" spans="2:4" x14ac:dyDescent="0.25">
      <c r="B173" s="117" t="s">
        <v>401</v>
      </c>
      <c r="C173" s="147">
        <v>17709</v>
      </c>
      <c r="D173" s="118">
        <v>19.681587063432524</v>
      </c>
    </row>
    <row r="174" spans="2:4" x14ac:dyDescent="0.25">
      <c r="B174" s="117" t="s">
        <v>402</v>
      </c>
      <c r="C174" s="147">
        <v>271.75</v>
      </c>
      <c r="D174" s="118">
        <v>13.210451691310512</v>
      </c>
    </row>
    <row r="175" spans="2:4" x14ac:dyDescent="0.25">
      <c r="B175" s="117" t="s">
        <v>403</v>
      </c>
      <c r="C175" s="147">
        <v>5591.916666666667</v>
      </c>
      <c r="D175" s="118">
        <v>21.857369936548057</v>
      </c>
    </row>
    <row r="176" spans="2:4" x14ac:dyDescent="0.25">
      <c r="B176" s="117" t="s">
        <v>404</v>
      </c>
      <c r="C176" s="147">
        <v>5617.416666666667</v>
      </c>
      <c r="D176" s="118">
        <v>16.794895432099384</v>
      </c>
    </row>
    <row r="177" spans="2:4" x14ac:dyDescent="0.25">
      <c r="B177" s="117" t="s">
        <v>405</v>
      </c>
      <c r="C177" s="147">
        <v>7659.166666666667</v>
      </c>
      <c r="D177" s="118">
        <v>15.29182749900173</v>
      </c>
    </row>
    <row r="178" spans="2:4" x14ac:dyDescent="0.25">
      <c r="B178" s="117" t="s">
        <v>406</v>
      </c>
      <c r="C178" s="147">
        <v>9250.0833333333339</v>
      </c>
      <c r="D178" s="118">
        <v>34.158883537720612</v>
      </c>
    </row>
    <row r="179" spans="2:4" x14ac:dyDescent="0.25">
      <c r="B179" s="117" t="s">
        <v>407</v>
      </c>
      <c r="C179" s="147">
        <v>40.333333333333336</v>
      </c>
      <c r="D179" s="118">
        <v>6.4697232990241949</v>
      </c>
    </row>
    <row r="180" spans="2:4" x14ac:dyDescent="0.25">
      <c r="B180" s="117" t="s">
        <v>408</v>
      </c>
      <c r="C180" s="147">
        <v>42.166666666666664</v>
      </c>
      <c r="D180" s="118">
        <v>6.5782631305252206</v>
      </c>
    </row>
    <row r="181" spans="2:4" x14ac:dyDescent="0.25">
      <c r="B181" s="117" t="s">
        <v>409</v>
      </c>
      <c r="C181" s="147">
        <v>63.833333333333336</v>
      </c>
      <c r="D181" s="118">
        <v>5.9082144234477436</v>
      </c>
    </row>
    <row r="182" spans="2:4" x14ac:dyDescent="0.25">
      <c r="B182" s="117" t="s">
        <v>410</v>
      </c>
      <c r="C182" s="147">
        <v>125.08333333333333</v>
      </c>
      <c r="D182" s="118">
        <v>3.1269530436231827</v>
      </c>
    </row>
    <row r="183" spans="2:4" x14ac:dyDescent="0.25">
      <c r="B183" s="117" t="s">
        <v>411</v>
      </c>
      <c r="C183" s="147">
        <v>11.25</v>
      </c>
      <c r="D183" s="118">
        <v>2.4120064320171517</v>
      </c>
    </row>
    <row r="184" spans="2:4" x14ac:dyDescent="0.25">
      <c r="B184" s="117" t="s">
        <v>412</v>
      </c>
      <c r="C184" s="147">
        <v>53.416666666666664</v>
      </c>
      <c r="D184" s="118">
        <v>8.7940732610783368</v>
      </c>
    </row>
    <row r="185" spans="2:4" x14ac:dyDescent="0.25">
      <c r="B185" s="117" t="s">
        <v>413</v>
      </c>
      <c r="C185" s="147">
        <v>625.16666666666663</v>
      </c>
      <c r="D185" s="118">
        <v>13.091124838585836</v>
      </c>
    </row>
    <row r="186" spans="2:4" x14ac:dyDescent="0.25">
      <c r="B186" s="117" t="s">
        <v>414</v>
      </c>
      <c r="C186" s="147">
        <v>14</v>
      </c>
      <c r="D186" s="118">
        <v>2.7482414526419108</v>
      </c>
    </row>
    <row r="187" spans="2:4" x14ac:dyDescent="0.25">
      <c r="B187" s="117" t="s">
        <v>415</v>
      </c>
      <c r="C187" s="147">
        <v>32.166666666666664</v>
      </c>
      <c r="D187" s="118">
        <v>5.0576519916142555</v>
      </c>
    </row>
    <row r="188" spans="2:4" x14ac:dyDescent="0.25">
      <c r="B188" s="117" t="s">
        <v>416</v>
      </c>
      <c r="C188" s="147">
        <v>35.333333333333336</v>
      </c>
      <c r="D188" s="118">
        <v>6.5482625482625485</v>
      </c>
    </row>
    <row r="189" spans="2:4" x14ac:dyDescent="0.25">
      <c r="B189" s="117" t="s">
        <v>417</v>
      </c>
      <c r="C189" s="147">
        <v>26.583333333333332</v>
      </c>
      <c r="D189" s="118">
        <v>4.10394956902097</v>
      </c>
    </row>
    <row r="190" spans="2:4" x14ac:dyDescent="0.25">
      <c r="B190" s="117" t="s">
        <v>418</v>
      </c>
      <c r="C190" s="147">
        <v>45.583333333333336</v>
      </c>
      <c r="D190" s="118">
        <v>5.1789433819352402</v>
      </c>
    </row>
    <row r="191" spans="2:4" x14ac:dyDescent="0.25">
      <c r="B191" s="117" t="s">
        <v>419</v>
      </c>
      <c r="C191" s="147">
        <v>275.83333333333331</v>
      </c>
      <c r="D191" s="118">
        <v>7.5887841896508244</v>
      </c>
    </row>
    <row r="192" spans="2:4" x14ac:dyDescent="0.25">
      <c r="B192" s="117" t="s">
        <v>420</v>
      </c>
      <c r="C192" s="147">
        <v>299.75</v>
      </c>
      <c r="D192" s="118">
        <v>5.0077964025171244</v>
      </c>
    </row>
    <row r="193" spans="2:4" x14ac:dyDescent="0.25">
      <c r="B193" s="117" t="s">
        <v>421</v>
      </c>
      <c r="C193" s="147">
        <v>60.583333333333336</v>
      </c>
      <c r="D193" s="118">
        <v>6.0286922630400541</v>
      </c>
    </row>
    <row r="194" spans="2:4" x14ac:dyDescent="0.25">
      <c r="B194" s="117" t="s">
        <v>422</v>
      </c>
      <c r="C194" s="147">
        <v>1062.5833333333333</v>
      </c>
      <c r="D194" s="118">
        <v>7.7625515179924873</v>
      </c>
    </row>
    <row r="195" spans="2:4" x14ac:dyDescent="0.25">
      <c r="B195" s="117" t="s">
        <v>423</v>
      </c>
      <c r="C195" s="147">
        <v>300.41666666666669</v>
      </c>
      <c r="D195" s="118">
        <v>8.9034329464065216</v>
      </c>
    </row>
    <row r="196" spans="2:4" x14ac:dyDescent="0.25">
      <c r="B196" s="117" t="s">
        <v>424</v>
      </c>
      <c r="C196" s="147">
        <v>1207.5833333333333</v>
      </c>
      <c r="D196" s="118">
        <v>4.911287726017183</v>
      </c>
    </row>
    <row r="197" spans="2:4" x14ac:dyDescent="0.25">
      <c r="B197" s="117" t="s">
        <v>425</v>
      </c>
      <c r="C197" s="147">
        <v>1531.1666666666667</v>
      </c>
      <c r="D197" s="118">
        <v>6.5892765566780351</v>
      </c>
    </row>
    <row r="198" spans="2:4" x14ac:dyDescent="0.25">
      <c r="B198" s="117" t="s">
        <v>426</v>
      </c>
      <c r="C198" s="147">
        <v>1121.25</v>
      </c>
      <c r="D198" s="118">
        <v>7.0689292844383731</v>
      </c>
    </row>
    <row r="199" spans="2:4" x14ac:dyDescent="0.25">
      <c r="B199" s="117" t="s">
        <v>427</v>
      </c>
      <c r="C199" s="147">
        <v>5225.25</v>
      </c>
      <c r="D199" s="118">
        <v>8.9077516461504587</v>
      </c>
    </row>
    <row r="200" spans="2:4" x14ac:dyDescent="0.25">
      <c r="B200" s="117" t="s">
        <v>428</v>
      </c>
      <c r="C200" s="147">
        <v>1424.8333333333333</v>
      </c>
      <c r="D200" s="118">
        <v>10.501166932809236</v>
      </c>
    </row>
    <row r="201" spans="2:4" x14ac:dyDescent="0.25">
      <c r="B201" s="117" t="s">
        <v>429</v>
      </c>
      <c r="C201" s="147">
        <v>10196.5</v>
      </c>
      <c r="D201" s="118">
        <v>10.211613187517527</v>
      </c>
    </row>
    <row r="202" spans="2:4" x14ac:dyDescent="0.25">
      <c r="B202" s="117" t="s">
        <v>430</v>
      </c>
      <c r="C202" s="147">
        <v>901.66666666666663</v>
      </c>
      <c r="D202" s="118">
        <v>4.4978196798317267</v>
      </c>
    </row>
    <row r="203" spans="2:4" x14ac:dyDescent="0.25">
      <c r="B203" s="117" t="s">
        <v>431</v>
      </c>
      <c r="C203" s="147">
        <v>1159.1666666666667</v>
      </c>
      <c r="D203" s="118">
        <v>4.8145148450425381</v>
      </c>
    </row>
    <row r="204" spans="2:4" x14ac:dyDescent="0.25">
      <c r="B204" s="117" t="s">
        <v>432</v>
      </c>
      <c r="C204" s="147">
        <v>947.58333333333337</v>
      </c>
      <c r="D204" s="118">
        <v>4.5917646251196302</v>
      </c>
    </row>
    <row r="205" spans="2:4" x14ac:dyDescent="0.25">
      <c r="B205" s="117" t="s">
        <v>433</v>
      </c>
      <c r="C205" s="147">
        <v>17655.583333333332</v>
      </c>
      <c r="D205" s="118">
        <v>11.023589681686543</v>
      </c>
    </row>
    <row r="206" spans="2:4" x14ac:dyDescent="0.25">
      <c r="B206" s="117" t="s">
        <v>434</v>
      </c>
      <c r="C206" s="147">
        <v>2071.8333333333335</v>
      </c>
      <c r="D206" s="118">
        <v>11.359877180637675</v>
      </c>
    </row>
    <row r="207" spans="2:4" x14ac:dyDescent="0.25">
      <c r="B207" s="117" t="s">
        <v>435</v>
      </c>
      <c r="C207" s="147">
        <v>797.66666666666663</v>
      </c>
      <c r="D207" s="118">
        <v>3.7872463332317805</v>
      </c>
    </row>
    <row r="208" spans="2:4" x14ac:dyDescent="0.25">
      <c r="B208" s="117" t="s">
        <v>436</v>
      </c>
      <c r="C208" s="147">
        <v>1380.9166666666667</v>
      </c>
      <c r="D208" s="118">
        <v>7.3274699423831189</v>
      </c>
    </row>
    <row r="209" spans="2:4" x14ac:dyDescent="0.25">
      <c r="B209" s="117" t="s">
        <v>437</v>
      </c>
      <c r="C209" s="147">
        <v>2902.8333333333335</v>
      </c>
      <c r="D209" s="118">
        <v>11.222113045859443</v>
      </c>
    </row>
    <row r="210" spans="2:4" x14ac:dyDescent="0.25">
      <c r="B210" s="117" t="s">
        <v>438</v>
      </c>
      <c r="C210" s="147">
        <v>6742</v>
      </c>
      <c r="D210" s="118">
        <v>8.1708501909803921</v>
      </c>
    </row>
    <row r="211" spans="2:4" x14ac:dyDescent="0.25">
      <c r="B211" s="117" t="s">
        <v>439</v>
      </c>
      <c r="C211" s="147">
        <v>2160.6666666666665</v>
      </c>
      <c r="D211" s="118">
        <v>11.888833355495741</v>
      </c>
    </row>
    <row r="212" spans="2:4" x14ac:dyDescent="0.25">
      <c r="B212" s="117" t="s">
        <v>440</v>
      </c>
      <c r="C212" s="147">
        <v>1</v>
      </c>
      <c r="D212" s="118">
        <v>7.5471698113207548</v>
      </c>
    </row>
    <row r="213" spans="2:4" x14ac:dyDescent="0.25">
      <c r="B213" s="117" t="s">
        <v>441</v>
      </c>
      <c r="C213" s="147">
        <v>464.66666666666669</v>
      </c>
      <c r="D213" s="118">
        <v>7.3553272038939967</v>
      </c>
    </row>
    <row r="214" spans="2:4" x14ac:dyDescent="0.25">
      <c r="B214" s="117" t="s">
        <v>442</v>
      </c>
      <c r="C214" s="147">
        <v>508.75</v>
      </c>
      <c r="D214" s="118">
        <v>9.9374938958882701</v>
      </c>
    </row>
    <row r="215" spans="2:4" x14ac:dyDescent="0.25">
      <c r="B215" s="117" t="s">
        <v>443</v>
      </c>
      <c r="C215" s="147">
        <v>2048.4166666666665</v>
      </c>
      <c r="D215" s="118">
        <v>37.043009132282464</v>
      </c>
    </row>
    <row r="216" spans="2:4" x14ac:dyDescent="0.25">
      <c r="B216" s="117" t="s">
        <v>444</v>
      </c>
      <c r="C216" s="147">
        <v>369.91666666666669</v>
      </c>
      <c r="D216" s="118">
        <v>21.620963421167989</v>
      </c>
    </row>
    <row r="217" spans="2:4" x14ac:dyDescent="0.25">
      <c r="B217" s="117" t="s">
        <v>445</v>
      </c>
      <c r="C217" s="147">
        <v>1642.1666666666667</v>
      </c>
      <c r="D217" s="118">
        <v>17.396601191789891</v>
      </c>
    </row>
    <row r="218" spans="2:4" x14ac:dyDescent="0.25">
      <c r="B218" s="117" t="s">
        <v>446</v>
      </c>
      <c r="C218" s="147">
        <v>496.41666666666669</v>
      </c>
      <c r="D218" s="118">
        <v>13.216044726449837</v>
      </c>
    </row>
    <row r="219" spans="2:4" x14ac:dyDescent="0.25">
      <c r="B219" s="117" t="s">
        <v>447</v>
      </c>
      <c r="C219" s="147">
        <v>128</v>
      </c>
      <c r="D219" s="118">
        <v>5.8195044328256422</v>
      </c>
    </row>
    <row r="220" spans="2:4" x14ac:dyDescent="0.25">
      <c r="B220" s="117" t="s">
        <v>448</v>
      </c>
      <c r="C220" s="147">
        <v>29.833333333333332</v>
      </c>
      <c r="D220" s="118">
        <v>2.7851252528395829</v>
      </c>
    </row>
    <row r="221" spans="2:4" x14ac:dyDescent="0.25">
      <c r="B221" s="117" t="s">
        <v>449</v>
      </c>
      <c r="C221" s="147">
        <v>487</v>
      </c>
      <c r="D221" s="118">
        <v>14.76839099340426</v>
      </c>
    </row>
    <row r="222" spans="2:4" x14ac:dyDescent="0.25">
      <c r="B222" s="117" t="s">
        <v>450</v>
      </c>
      <c r="C222" s="147">
        <v>856.66666666666663</v>
      </c>
      <c r="D222" s="118">
        <v>23.705753487835814</v>
      </c>
    </row>
    <row r="223" spans="2:4" x14ac:dyDescent="0.25">
      <c r="B223" s="117" t="s">
        <v>451</v>
      </c>
      <c r="C223" s="147">
        <v>212</v>
      </c>
      <c r="D223" s="118">
        <v>9.8972922502334271</v>
      </c>
    </row>
    <row r="224" spans="2:4" x14ac:dyDescent="0.25">
      <c r="B224" s="117" t="s">
        <v>452</v>
      </c>
      <c r="C224" s="147">
        <v>191.91666666666666</v>
      </c>
      <c r="D224" s="118">
        <v>14.923535510627268</v>
      </c>
    </row>
    <row r="225" spans="2:4" x14ac:dyDescent="0.25">
      <c r="B225" s="117" t="s">
        <v>453</v>
      </c>
      <c r="C225" s="147">
        <v>106.91666666666667</v>
      </c>
      <c r="D225" s="118">
        <v>7.5863292336802282</v>
      </c>
    </row>
    <row r="226" spans="2:4" x14ac:dyDescent="0.25">
      <c r="B226" s="117" t="s">
        <v>454</v>
      </c>
      <c r="C226" s="147">
        <v>1036.0833333333333</v>
      </c>
      <c r="D226" s="118">
        <v>18.17583767031168</v>
      </c>
    </row>
    <row r="227" spans="2:4" x14ac:dyDescent="0.25">
      <c r="B227" s="117" t="s">
        <v>455</v>
      </c>
      <c r="C227" s="147">
        <v>447.83333333333331</v>
      </c>
      <c r="D227" s="118">
        <v>11.136669775152834</v>
      </c>
    </row>
    <row r="228" spans="2:4" x14ac:dyDescent="0.25">
      <c r="B228" s="117" t="s">
        <v>456</v>
      </c>
      <c r="C228" s="147">
        <v>3462.25</v>
      </c>
      <c r="D228" s="118">
        <v>20.105689522509838</v>
      </c>
    </row>
    <row r="229" spans="2:4" x14ac:dyDescent="0.25">
      <c r="B229" s="117" t="s">
        <v>457</v>
      </c>
      <c r="C229" s="147">
        <v>18.166666666666668</v>
      </c>
      <c r="D229" s="118">
        <v>3.7131664111735652</v>
      </c>
    </row>
    <row r="230" spans="2:4" x14ac:dyDescent="0.25">
      <c r="B230" s="117" t="s">
        <v>458</v>
      </c>
      <c r="C230" s="147">
        <v>448.66666666666669</v>
      </c>
      <c r="D230" s="118">
        <v>6.2783511165529715</v>
      </c>
    </row>
    <row r="231" spans="2:4" x14ac:dyDescent="0.25">
      <c r="B231" s="117" t="s">
        <v>459</v>
      </c>
      <c r="C231" s="147">
        <v>804.66666666666663</v>
      </c>
      <c r="D231" s="118">
        <v>10.699761759654274</v>
      </c>
    </row>
    <row r="232" spans="2:4" x14ac:dyDescent="0.25">
      <c r="B232" s="117" t="s">
        <v>460</v>
      </c>
      <c r="C232" s="147">
        <v>131.08333333333334</v>
      </c>
      <c r="D232" s="118">
        <v>10.909217005340178</v>
      </c>
    </row>
    <row r="233" spans="2:4" x14ac:dyDescent="0.25">
      <c r="B233" s="117" t="s">
        <v>461</v>
      </c>
      <c r="C233" s="147">
        <v>2442.9166666666665</v>
      </c>
      <c r="D233" s="118">
        <v>15.636501349491674</v>
      </c>
    </row>
    <row r="234" spans="2:4" x14ac:dyDescent="0.25">
      <c r="B234" s="117" t="s">
        <v>462</v>
      </c>
      <c r="C234" s="147">
        <v>451.16666666666669</v>
      </c>
      <c r="D234" s="118">
        <v>14.605195716097008</v>
      </c>
    </row>
    <row r="235" spans="2:4" x14ac:dyDescent="0.25">
      <c r="B235" s="117" t="s">
        <v>463</v>
      </c>
      <c r="C235" s="147">
        <v>818.91666666666663</v>
      </c>
      <c r="D235" s="118">
        <v>14.708435610369394</v>
      </c>
    </row>
    <row r="236" spans="2:4" x14ac:dyDescent="0.25">
      <c r="B236" s="117" t="s">
        <v>464</v>
      </c>
      <c r="C236" s="147">
        <v>6021.416666666667</v>
      </c>
      <c r="D236" s="118">
        <v>18.599497025655811</v>
      </c>
    </row>
    <row r="237" spans="2:4" x14ac:dyDescent="0.25">
      <c r="B237" s="117" t="s">
        <v>465</v>
      </c>
      <c r="C237" s="147">
        <v>1676</v>
      </c>
      <c r="D237" s="118">
        <v>15.280816921954777</v>
      </c>
    </row>
    <row r="238" spans="2:4" x14ac:dyDescent="0.25">
      <c r="B238" s="117" t="s">
        <v>466</v>
      </c>
      <c r="C238" s="147">
        <v>823</v>
      </c>
      <c r="D238" s="118">
        <v>19.654513612482091</v>
      </c>
    </row>
    <row r="239" spans="2:4" x14ac:dyDescent="0.25">
      <c r="B239" s="117" t="s">
        <v>467</v>
      </c>
      <c r="C239" s="147">
        <v>1279.1666666666667</v>
      </c>
      <c r="D239" s="118">
        <v>13.840050491389416</v>
      </c>
    </row>
    <row r="240" spans="2:4" x14ac:dyDescent="0.25">
      <c r="B240" s="117" t="s">
        <v>468</v>
      </c>
      <c r="C240" s="147">
        <v>4264.25</v>
      </c>
      <c r="D240" s="118">
        <v>31.248320672219641</v>
      </c>
    </row>
    <row r="241" spans="2:4" x14ac:dyDescent="0.25">
      <c r="B241" s="117" t="s">
        <v>469</v>
      </c>
      <c r="C241" s="147">
        <v>4111.166666666667</v>
      </c>
      <c r="D241" s="118">
        <v>15.799823215177874</v>
      </c>
    </row>
    <row r="242" spans="2:4" x14ac:dyDescent="0.25">
      <c r="B242" s="117" t="s">
        <v>470</v>
      </c>
      <c r="C242" s="147">
        <v>1195.4166666666667</v>
      </c>
      <c r="D242" s="118">
        <v>17.207873996857121</v>
      </c>
    </row>
    <row r="243" spans="2:4" x14ac:dyDescent="0.25">
      <c r="B243" s="117" t="s">
        <v>471</v>
      </c>
      <c r="C243" s="147">
        <v>6085</v>
      </c>
      <c r="D243" s="118">
        <v>23.245227279238783</v>
      </c>
    </row>
    <row r="244" spans="2:4" x14ac:dyDescent="0.25">
      <c r="B244" s="117" t="s">
        <v>472</v>
      </c>
      <c r="C244" s="147">
        <v>1289.25</v>
      </c>
      <c r="D244" s="118">
        <v>17.455320877335502</v>
      </c>
    </row>
    <row r="245" spans="2:4" x14ac:dyDescent="0.25">
      <c r="B245" s="117" t="s">
        <v>473</v>
      </c>
      <c r="C245" s="147">
        <v>5274.666666666667</v>
      </c>
      <c r="D245" s="118">
        <v>18.602081331205568</v>
      </c>
    </row>
    <row r="246" spans="2:4" x14ac:dyDescent="0.25">
      <c r="B246" s="117" t="s">
        <v>474</v>
      </c>
      <c r="C246" s="147">
        <v>921.91666666666663</v>
      </c>
      <c r="D246" s="118">
        <v>15.392214152544732</v>
      </c>
    </row>
    <row r="247" spans="2:4" x14ac:dyDescent="0.25">
      <c r="B247" s="117" t="s">
        <v>475</v>
      </c>
      <c r="C247" s="147">
        <v>297.33333333333331</v>
      </c>
      <c r="D247" s="118">
        <v>6.0986240492265607</v>
      </c>
    </row>
    <row r="248" spans="2:4" x14ac:dyDescent="0.25">
      <c r="B248" s="117" t="s">
        <v>476</v>
      </c>
      <c r="C248" s="147">
        <v>329.83333333333331</v>
      </c>
      <c r="D248" s="118">
        <v>12.382293133114343</v>
      </c>
    </row>
    <row r="249" spans="2:4" x14ac:dyDescent="0.25">
      <c r="B249" s="117" t="s">
        <v>477</v>
      </c>
      <c r="C249" s="147">
        <v>104.58333333333333</v>
      </c>
      <c r="D249" s="118">
        <v>8.9196872778962319</v>
      </c>
    </row>
    <row r="250" spans="2:4" x14ac:dyDescent="0.25">
      <c r="B250" s="117" t="s">
        <v>478</v>
      </c>
      <c r="C250" s="147">
        <v>418.83333333333331</v>
      </c>
      <c r="D250" s="118">
        <v>11.788713233569451</v>
      </c>
    </row>
    <row r="251" spans="2:4" x14ac:dyDescent="0.25">
      <c r="B251" s="117" t="s">
        <v>479</v>
      </c>
      <c r="C251" s="147">
        <v>111.91666666666667</v>
      </c>
      <c r="D251" s="118">
        <v>6.7264349393969765</v>
      </c>
    </row>
    <row r="252" spans="2:4" x14ac:dyDescent="0.25">
      <c r="B252" s="117" t="s">
        <v>480</v>
      </c>
      <c r="C252" s="147">
        <v>90.916666666666671</v>
      </c>
      <c r="D252" s="118">
        <v>5.0130956210081337</v>
      </c>
    </row>
    <row r="253" spans="2:4" x14ac:dyDescent="0.25">
      <c r="B253" s="117" t="s">
        <v>481</v>
      </c>
      <c r="C253" s="147">
        <v>642.58333333333337</v>
      </c>
      <c r="D253" s="118">
        <v>5.9049661140253473</v>
      </c>
    </row>
    <row r="254" spans="2:4" x14ac:dyDescent="0.25">
      <c r="B254" s="117" t="s">
        <v>482</v>
      </c>
      <c r="C254" s="147">
        <v>827</v>
      </c>
      <c r="D254" s="118">
        <v>19.305139477881962</v>
      </c>
    </row>
    <row r="255" spans="2:4" x14ac:dyDescent="0.25">
      <c r="B255" s="117" t="s">
        <v>483</v>
      </c>
      <c r="C255" s="147">
        <v>2169.3333333333335</v>
      </c>
      <c r="D255" s="118">
        <v>8.3619485087451615</v>
      </c>
    </row>
    <row r="256" spans="2:4" x14ac:dyDescent="0.25">
      <c r="B256" s="117" t="s">
        <v>484</v>
      </c>
      <c r="C256" s="147">
        <v>963.66666666666663</v>
      </c>
      <c r="D256" s="118">
        <v>22.151983602474953</v>
      </c>
    </row>
    <row r="257" spans="2:4" x14ac:dyDescent="0.25">
      <c r="B257" s="117" t="s">
        <v>485</v>
      </c>
      <c r="C257" s="147">
        <v>70</v>
      </c>
      <c r="D257" s="118">
        <v>3.6374658987571986</v>
      </c>
    </row>
    <row r="258" spans="2:4" x14ac:dyDescent="0.25">
      <c r="B258" s="117" t="s">
        <v>486</v>
      </c>
      <c r="C258" s="147">
        <v>38.416666666666664</v>
      </c>
      <c r="D258" s="118">
        <v>4.2792165599183143</v>
      </c>
    </row>
    <row r="259" spans="2:4" x14ac:dyDescent="0.25">
      <c r="B259" s="117" t="s">
        <v>487</v>
      </c>
      <c r="C259" s="147">
        <v>582</v>
      </c>
      <c r="D259" s="118">
        <v>7.9437657817511775</v>
      </c>
    </row>
    <row r="260" spans="2:4" x14ac:dyDescent="0.25">
      <c r="B260" s="117" t="s">
        <v>488</v>
      </c>
      <c r="C260" s="147">
        <v>161.16666666666666</v>
      </c>
      <c r="D260" s="118">
        <v>14.719537255498894</v>
      </c>
    </row>
    <row r="261" spans="2:4" x14ac:dyDescent="0.25">
      <c r="B261" s="117" t="s">
        <v>489</v>
      </c>
      <c r="C261" s="147">
        <v>45.25</v>
      </c>
      <c r="D261" s="118">
        <v>3.7440529545611256</v>
      </c>
    </row>
    <row r="262" spans="2:4" x14ac:dyDescent="0.25">
      <c r="B262" s="117" t="s">
        <v>490</v>
      </c>
      <c r="C262" s="147">
        <v>53.333333333333336</v>
      </c>
      <c r="D262" s="118">
        <v>4.2886819004221675</v>
      </c>
    </row>
    <row r="263" spans="2:4" x14ac:dyDescent="0.25">
      <c r="B263" s="117" t="s">
        <v>491</v>
      </c>
      <c r="C263" s="147">
        <v>25.333333333333332</v>
      </c>
      <c r="D263" s="118">
        <v>3.4588690408465128</v>
      </c>
    </row>
    <row r="264" spans="2:4" x14ac:dyDescent="0.25">
      <c r="B264" s="117" t="s">
        <v>492</v>
      </c>
      <c r="C264" s="147">
        <v>147.75</v>
      </c>
      <c r="D264" s="118">
        <v>4.6692299589170965</v>
      </c>
    </row>
    <row r="265" spans="2:4" x14ac:dyDescent="0.25">
      <c r="B265" s="117" t="s">
        <v>493</v>
      </c>
      <c r="C265" s="147">
        <v>91.75</v>
      </c>
      <c r="D265" s="118">
        <v>6.5750970438936989</v>
      </c>
    </row>
    <row r="266" spans="2:4" x14ac:dyDescent="0.25">
      <c r="B266" s="117" t="s">
        <v>494</v>
      </c>
      <c r="C266" s="147">
        <v>35.583333333333336</v>
      </c>
      <c r="D266" s="118">
        <v>2.7040719397124944</v>
      </c>
    </row>
    <row r="267" spans="2:4" x14ac:dyDescent="0.25">
      <c r="B267" s="117" t="s">
        <v>495</v>
      </c>
      <c r="C267" s="147">
        <v>61.75</v>
      </c>
      <c r="D267" s="118">
        <v>7.2647058823529411</v>
      </c>
    </row>
    <row r="268" spans="2:4" x14ac:dyDescent="0.25">
      <c r="B268" s="117" t="s">
        <v>496</v>
      </c>
      <c r="C268" s="147">
        <v>57.333333333333336</v>
      </c>
      <c r="D268" s="118">
        <v>2.8598744648127368</v>
      </c>
    </row>
    <row r="269" spans="2:4" x14ac:dyDescent="0.25">
      <c r="B269" s="117" t="s">
        <v>497</v>
      </c>
      <c r="C269" s="147">
        <v>78.166666666666671</v>
      </c>
      <c r="D269" s="118">
        <v>3.7345224350041804</v>
      </c>
    </row>
    <row r="270" spans="2:4" x14ac:dyDescent="0.25">
      <c r="B270" s="117" t="s">
        <v>498</v>
      </c>
      <c r="C270" s="147">
        <v>730.08333333333337</v>
      </c>
      <c r="D270" s="118">
        <v>5.7701553680688651</v>
      </c>
    </row>
    <row r="271" spans="2:4" x14ac:dyDescent="0.25">
      <c r="B271" s="117" t="s">
        <v>499</v>
      </c>
      <c r="C271" s="147">
        <v>135.08333333333334</v>
      </c>
      <c r="D271" s="118">
        <v>11.079972658920028</v>
      </c>
    </row>
    <row r="272" spans="2:4" x14ac:dyDescent="0.25">
      <c r="B272" s="117" t="s">
        <v>500</v>
      </c>
      <c r="C272" s="147">
        <v>223.58333333333334</v>
      </c>
      <c r="D272" s="118">
        <v>8.9943010392222593</v>
      </c>
    </row>
    <row r="273" spans="2:4" x14ac:dyDescent="0.25">
      <c r="B273" s="117" t="s">
        <v>501</v>
      </c>
      <c r="C273" s="147">
        <v>136.83333333333334</v>
      </c>
      <c r="D273" s="118">
        <v>4.9205873539106983</v>
      </c>
    </row>
    <row r="274" spans="2:4" x14ac:dyDescent="0.25">
      <c r="B274" s="117" t="s">
        <v>502</v>
      </c>
      <c r="C274" s="147">
        <v>2698.9166666666665</v>
      </c>
      <c r="D274" s="118">
        <v>37.396656043600757</v>
      </c>
    </row>
    <row r="275" spans="2:4" x14ac:dyDescent="0.25">
      <c r="B275" s="117" t="s">
        <v>503</v>
      </c>
      <c r="C275" s="147">
        <v>299.75</v>
      </c>
      <c r="D275" s="118">
        <v>6.4137082538380614</v>
      </c>
    </row>
    <row r="276" spans="2:4" x14ac:dyDescent="0.25">
      <c r="B276" s="117" t="s">
        <v>504</v>
      </c>
      <c r="C276" s="147">
        <v>418.5</v>
      </c>
      <c r="D276" s="118">
        <v>6.7707490697298169</v>
      </c>
    </row>
    <row r="277" spans="2:4" x14ac:dyDescent="0.25">
      <c r="B277" s="117" t="s">
        <v>505</v>
      </c>
      <c r="C277" s="147">
        <v>198</v>
      </c>
      <c r="D277" s="118">
        <v>9.8938163647720181</v>
      </c>
    </row>
    <row r="278" spans="2:4" x14ac:dyDescent="0.25">
      <c r="B278" s="117" t="s">
        <v>506</v>
      </c>
      <c r="C278" s="147">
        <v>204.16666666666666</v>
      </c>
      <c r="D278" s="118">
        <v>8.0478270866865937</v>
      </c>
    </row>
    <row r="279" spans="2:4" x14ac:dyDescent="0.25">
      <c r="B279" s="117" t="s">
        <v>507</v>
      </c>
      <c r="C279" s="147">
        <v>188.58333333333334</v>
      </c>
      <c r="D279" s="118">
        <v>5.4921852247354632</v>
      </c>
    </row>
    <row r="280" spans="2:4" x14ac:dyDescent="0.25">
      <c r="B280" s="117" t="s">
        <v>508</v>
      </c>
      <c r="C280" s="147">
        <v>465.33333333333331</v>
      </c>
      <c r="D280" s="118">
        <v>10.435237614696044</v>
      </c>
    </row>
    <row r="281" spans="2:4" x14ac:dyDescent="0.25">
      <c r="B281" s="117" t="s">
        <v>509</v>
      </c>
      <c r="C281" s="147">
        <v>55.916666666666664</v>
      </c>
      <c r="D281" s="118">
        <v>4.9341863372306785</v>
      </c>
    </row>
    <row r="282" spans="2:4" x14ac:dyDescent="0.25">
      <c r="B282" s="117" t="s">
        <v>510</v>
      </c>
      <c r="C282" s="147">
        <v>17.666666666666668</v>
      </c>
      <c r="D282" s="118">
        <v>3.8156947444204468</v>
      </c>
    </row>
    <row r="283" spans="2:4" x14ac:dyDescent="0.25">
      <c r="B283" s="117" t="s">
        <v>511</v>
      </c>
      <c r="C283" s="147">
        <v>147.58333333333334</v>
      </c>
      <c r="D283" s="118">
        <v>8.3400047092065002</v>
      </c>
    </row>
    <row r="284" spans="2:4" x14ac:dyDescent="0.25">
      <c r="B284" s="117" t="s">
        <v>512</v>
      </c>
      <c r="C284" s="147">
        <v>213.33333333333334</v>
      </c>
      <c r="D284" s="118">
        <v>9.9754510384600401</v>
      </c>
    </row>
    <row r="285" spans="2:4" x14ac:dyDescent="0.25">
      <c r="B285" s="117" t="s">
        <v>513</v>
      </c>
      <c r="C285" s="147">
        <v>54.083333333333336</v>
      </c>
      <c r="D285" s="118">
        <v>3.6898061288305195</v>
      </c>
    </row>
    <row r="286" spans="2:4" x14ac:dyDescent="0.25">
      <c r="B286" s="117" t="s">
        <v>514</v>
      </c>
      <c r="C286" s="147">
        <v>205.58333333333334</v>
      </c>
      <c r="D286" s="118">
        <v>7.5261600414899776</v>
      </c>
    </row>
    <row r="287" spans="2:4" x14ac:dyDescent="0.25">
      <c r="B287" s="117" t="s">
        <v>515</v>
      </c>
      <c r="C287" s="147">
        <v>82.666666666666671</v>
      </c>
      <c r="D287" s="118">
        <v>4.7871827043721646</v>
      </c>
    </row>
    <row r="288" spans="2:4" x14ac:dyDescent="0.25">
      <c r="B288" s="117" t="s">
        <v>516</v>
      </c>
      <c r="C288" s="147">
        <v>139.83333333333334</v>
      </c>
      <c r="D288" s="118">
        <v>10.812552355177525</v>
      </c>
    </row>
    <row r="289" spans="1:4" x14ac:dyDescent="0.25">
      <c r="B289" s="117" t="s">
        <v>517</v>
      </c>
      <c r="C289" s="147">
        <v>34.833333333333336</v>
      </c>
      <c r="D289" s="118">
        <v>4.7990815154994255</v>
      </c>
    </row>
    <row r="290" spans="1:4" x14ac:dyDescent="0.25">
      <c r="B290" s="117" t="s">
        <v>518</v>
      </c>
      <c r="C290" s="147">
        <v>304.83333333333331</v>
      </c>
      <c r="D290" s="118">
        <v>18.229841522974183</v>
      </c>
    </row>
    <row r="291" spans="1:4" x14ac:dyDescent="0.25">
      <c r="B291" s="117" t="s">
        <v>519</v>
      </c>
      <c r="C291" s="147">
        <v>519.75</v>
      </c>
      <c r="D291" s="118">
        <v>7.2727060716659482</v>
      </c>
    </row>
    <row r="292" spans="1:4" x14ac:dyDescent="0.25">
      <c r="B292" s="117" t="s">
        <v>520</v>
      </c>
      <c r="C292" s="147">
        <v>67.833333333333329</v>
      </c>
      <c r="D292" s="118">
        <v>7.2523164647184597</v>
      </c>
    </row>
    <row r="293" spans="1:4" x14ac:dyDescent="0.25">
      <c r="B293" s="117" t="s">
        <v>521</v>
      </c>
      <c r="C293" s="147">
        <v>2075.6666666666665</v>
      </c>
      <c r="D293" s="118">
        <v>7.9117974976256349</v>
      </c>
    </row>
    <row r="294" spans="1:4" x14ac:dyDescent="0.25">
      <c r="B294" s="117" t="s">
        <v>522</v>
      </c>
      <c r="C294" s="147">
        <v>117.75</v>
      </c>
      <c r="D294" s="118">
        <v>6.3241283623506241</v>
      </c>
    </row>
    <row r="295" spans="1:4" x14ac:dyDescent="0.25">
      <c r="B295" s="137"/>
      <c r="C295" s="137"/>
      <c r="D295" s="137"/>
    </row>
    <row r="296" spans="1:4" x14ac:dyDescent="0.25">
      <c r="A296" s="28" t="s">
        <v>1637</v>
      </c>
      <c r="B296" s="137"/>
      <c r="C296" s="137"/>
      <c r="D296" s="137"/>
    </row>
    <row r="297" spans="1:4" x14ac:dyDescent="0.25">
      <c r="A297" s="29" t="s">
        <v>1638</v>
      </c>
      <c r="B297" s="137"/>
      <c r="C297" s="137"/>
      <c r="D297" s="137"/>
    </row>
    <row r="298" spans="1:4" x14ac:dyDescent="0.25">
      <c r="B298" s="137"/>
      <c r="C298" s="137"/>
      <c r="D298" s="137"/>
    </row>
    <row r="299" spans="1:4" x14ac:dyDescent="0.25">
      <c r="B299" s="137"/>
      <c r="C299" s="137"/>
      <c r="D299" s="137"/>
    </row>
    <row r="300" spans="1:4" x14ac:dyDescent="0.25">
      <c r="B300" s="137"/>
      <c r="C300" s="137"/>
      <c r="D300" s="137"/>
    </row>
    <row r="301" spans="1:4" x14ac:dyDescent="0.25">
      <c r="B301" s="137"/>
      <c r="C301" s="137"/>
      <c r="D301" s="137"/>
    </row>
    <row r="302" spans="1:4" x14ac:dyDescent="0.25">
      <c r="B302" s="137"/>
      <c r="C302" s="137"/>
      <c r="D302" s="137"/>
    </row>
    <row r="303" spans="1:4" x14ac:dyDescent="0.25">
      <c r="B303" s="137"/>
      <c r="C303" s="137"/>
      <c r="D303" s="137"/>
    </row>
    <row r="304" spans="1:4" x14ac:dyDescent="0.25">
      <c r="B304" s="137"/>
      <c r="C304" s="137"/>
      <c r="D304" s="137"/>
    </row>
    <row r="305" spans="2:4" x14ac:dyDescent="0.25">
      <c r="B305" s="137"/>
      <c r="C305" s="137"/>
      <c r="D305" s="137"/>
    </row>
    <row r="306" spans="2:4" x14ac:dyDescent="0.25">
      <c r="B306" s="137"/>
      <c r="C306" s="137"/>
      <c r="D306" s="137"/>
    </row>
    <row r="307" spans="2:4" x14ac:dyDescent="0.25">
      <c r="B307" s="137"/>
      <c r="C307" s="137"/>
      <c r="D307" s="137"/>
    </row>
    <row r="308" spans="2:4" x14ac:dyDescent="0.25">
      <c r="B308" s="137"/>
      <c r="C308" s="137"/>
      <c r="D308" s="137"/>
    </row>
    <row r="309" spans="2:4" x14ac:dyDescent="0.25">
      <c r="B309" s="137"/>
      <c r="C309" s="137"/>
      <c r="D309" s="137"/>
    </row>
    <row r="310" spans="2:4" x14ac:dyDescent="0.25">
      <c r="B310" s="137"/>
      <c r="C310" s="137"/>
      <c r="D310" s="137"/>
    </row>
    <row r="311" spans="2:4" x14ac:dyDescent="0.25">
      <c r="B311" s="137"/>
      <c r="C311" s="137"/>
      <c r="D311" s="137"/>
    </row>
    <row r="312" spans="2:4" x14ac:dyDescent="0.25">
      <c r="B312" s="137"/>
      <c r="C312" s="137"/>
      <c r="D312" s="137"/>
    </row>
    <row r="313" spans="2:4" x14ac:dyDescent="0.25">
      <c r="B313" s="137"/>
      <c r="C313" s="137"/>
      <c r="D313" s="137"/>
    </row>
    <row r="314" spans="2:4" x14ac:dyDescent="0.25">
      <c r="B314" s="137"/>
      <c r="C314" s="137"/>
      <c r="D314" s="137"/>
    </row>
    <row r="315" spans="2:4" x14ac:dyDescent="0.25">
      <c r="B315" s="137"/>
      <c r="C315" s="137"/>
      <c r="D315" s="137"/>
    </row>
    <row r="316" spans="2:4" x14ac:dyDescent="0.25">
      <c r="B316" s="137"/>
      <c r="C316" s="137"/>
      <c r="D316" s="137"/>
    </row>
    <row r="317" spans="2:4" x14ac:dyDescent="0.25">
      <c r="B317" s="137"/>
      <c r="C317" s="137"/>
      <c r="D317" s="137"/>
    </row>
    <row r="318" spans="2:4" x14ac:dyDescent="0.25">
      <c r="B318" s="137"/>
      <c r="C318" s="137"/>
      <c r="D318" s="137"/>
    </row>
    <row r="319" spans="2:4" x14ac:dyDescent="0.25">
      <c r="B319" s="137"/>
      <c r="C319" s="137"/>
      <c r="D319" s="137"/>
    </row>
    <row r="320" spans="2:4" x14ac:dyDescent="0.25">
      <c r="B320" s="137"/>
      <c r="C320" s="137"/>
      <c r="D320" s="137"/>
    </row>
    <row r="321" spans="2:4" x14ac:dyDescent="0.25">
      <c r="B321" s="137"/>
      <c r="C321" s="137"/>
      <c r="D321" s="137"/>
    </row>
    <row r="322" spans="2:4" x14ac:dyDescent="0.25">
      <c r="B322" s="137"/>
      <c r="C322" s="137"/>
      <c r="D322" s="137"/>
    </row>
    <row r="323" spans="2:4" x14ac:dyDescent="0.25">
      <c r="B323" s="137"/>
      <c r="C323" s="137"/>
      <c r="D323" s="137"/>
    </row>
    <row r="324" spans="2:4" x14ac:dyDescent="0.25">
      <c r="B324" s="137"/>
      <c r="C324" s="137"/>
      <c r="D324" s="137"/>
    </row>
    <row r="325" spans="2:4" x14ac:dyDescent="0.25">
      <c r="B325" s="137"/>
      <c r="C325" s="137"/>
      <c r="D325" s="137"/>
    </row>
  </sheetData>
  <hyperlinks>
    <hyperlink ref="A5" location="Índice!A1" display="Índice/Contents" xr:uid="{79CF25E8-5A8C-4407-B6F0-80D2B460D737}"/>
  </hyperlinks>
  <pageMargins left="0.7" right="0.7" top="0.75" bottom="0.75" header="0.3" footer="0.3"/>
  <pageSetup paperSize="9" orientation="portrait" horizontalDpi="1200" verticalDpi="1200"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28CD-1F70-4D98-A96D-9FE431CE1366}">
  <sheetPr codeName="Sheet25">
    <tabColor theme="4"/>
  </sheetPr>
  <dimension ref="A5:CC34"/>
  <sheetViews>
    <sheetView showGridLines="0" showRowColHeaders="0" topLeftCell="A5" workbookViewId="0">
      <selection activeCell="A35" sqref="A35"/>
    </sheetView>
  </sheetViews>
  <sheetFormatPr defaultRowHeight="15" x14ac:dyDescent="0.25"/>
  <cols>
    <col min="1" max="1" width="61.140625" customWidth="1"/>
    <col min="2" max="2" width="40.42578125" customWidth="1"/>
    <col min="4" max="4" width="11.140625" bestFit="1" customWidth="1"/>
    <col min="5" max="6" width="12.140625" bestFit="1" customWidth="1"/>
  </cols>
  <sheetData>
    <row r="5" spans="1:65" ht="36" customHeight="1" x14ac:dyDescent="0.25">
      <c r="A5" s="10" t="s">
        <v>3</v>
      </c>
    </row>
    <row r="6" spans="1:65" ht="18.75" x14ac:dyDescent="0.25">
      <c r="A6" s="6" t="s">
        <v>179</v>
      </c>
    </row>
    <row r="7" spans="1:65" x14ac:dyDescent="0.25">
      <c r="A7" s="78" t="str">
        <f>+Índice!A95</f>
        <v>Parte II. Tema em Destaque: Caraterização dos trabalhadores estrangeiros por conta de outrem em Portugal / Part II Special Issue: Characterization of foreign employees in Portugal</v>
      </c>
    </row>
    <row r="8" spans="1:65" ht="18.75" x14ac:dyDescent="0.25">
      <c r="A8" s="6"/>
    </row>
    <row r="9" spans="1:65" x14ac:dyDescent="0.25">
      <c r="A9" s="7"/>
    </row>
    <row r="10" spans="1:65" x14ac:dyDescent="0.25">
      <c r="A10" t="s">
        <v>187</v>
      </c>
    </row>
    <row r="11" spans="1:65" x14ac:dyDescent="0.25">
      <c r="A11" s="8" t="s">
        <v>525</v>
      </c>
    </row>
    <row r="13" spans="1:65" s="46" customFormat="1" ht="51.75" x14ac:dyDescent="0.25">
      <c r="A13" s="296" t="s">
        <v>2</v>
      </c>
      <c r="C13" s="17"/>
      <c r="D13" s="320" t="s">
        <v>1226</v>
      </c>
      <c r="E13" s="320" t="s">
        <v>1226</v>
      </c>
      <c r="F13" s="320" t="s">
        <v>1226</v>
      </c>
      <c r="G13" s="17"/>
      <c r="H13" s="17"/>
      <c r="I13" s="17"/>
      <c r="J13" s="17"/>
    </row>
    <row r="14" spans="1:65" s="46" customFormat="1" ht="15" customHeight="1" x14ac:dyDescent="0.25">
      <c r="A14" s="165"/>
      <c r="B14" s="117"/>
      <c r="C14" s="166"/>
      <c r="D14" s="168">
        <v>2014</v>
      </c>
      <c r="E14" s="168">
        <v>2019</v>
      </c>
      <c r="F14" s="168">
        <v>2023</v>
      </c>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row>
    <row r="15" spans="1:65" s="46" customFormat="1" ht="15" customHeight="1" x14ac:dyDescent="0.25">
      <c r="A15" s="20" t="s">
        <v>542</v>
      </c>
      <c r="B15" s="199" t="s">
        <v>526</v>
      </c>
      <c r="C15" s="117"/>
      <c r="D15" s="147">
        <v>7824.75</v>
      </c>
      <c r="E15" s="147">
        <v>34341.916666666664</v>
      </c>
      <c r="F15" s="147">
        <v>95695.083333333328</v>
      </c>
      <c r="G15" s="18"/>
      <c r="H15" s="18"/>
      <c r="I15" s="18"/>
      <c r="J15" s="18"/>
      <c r="K15" s="150"/>
      <c r="L15" s="150"/>
      <c r="M15" s="150"/>
    </row>
    <row r="16" spans="1:65" s="46" customFormat="1" x14ac:dyDescent="0.25">
      <c r="A16" s="195" t="s">
        <v>543</v>
      </c>
      <c r="B16" s="199" t="s">
        <v>527</v>
      </c>
      <c r="C16" s="167"/>
      <c r="D16" s="142">
        <v>8949.25</v>
      </c>
      <c r="E16" s="142">
        <v>41792.583333333336</v>
      </c>
      <c r="F16" s="142">
        <v>93285.75</v>
      </c>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row>
    <row r="17" spans="1:81" s="46" customFormat="1" x14ac:dyDescent="0.25">
      <c r="A17" s="24" t="s">
        <v>544</v>
      </c>
      <c r="B17" s="199" t="s">
        <v>528</v>
      </c>
      <c r="C17" s="167"/>
      <c r="D17" s="142">
        <v>5399.583333333333</v>
      </c>
      <c r="E17" s="142">
        <v>23558.25</v>
      </c>
      <c r="F17" s="142">
        <v>69227.166666666672</v>
      </c>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151"/>
      <c r="BO17" s="151"/>
      <c r="BP17" s="151"/>
      <c r="BQ17" s="151"/>
      <c r="BR17" s="151"/>
      <c r="BS17" s="151"/>
      <c r="BT17" s="151"/>
      <c r="BU17" s="151"/>
      <c r="BV17" s="151"/>
      <c r="BW17" s="151"/>
      <c r="BX17" s="151"/>
      <c r="BY17" s="151"/>
      <c r="BZ17" s="151"/>
      <c r="CA17" s="151"/>
      <c r="CB17" s="151"/>
      <c r="CC17" s="151"/>
    </row>
    <row r="18" spans="1:81" s="46" customFormat="1" x14ac:dyDescent="0.25">
      <c r="A18" s="196" t="s">
        <v>545</v>
      </c>
      <c r="B18" s="200" t="s">
        <v>529</v>
      </c>
      <c r="C18" s="143"/>
      <c r="D18" s="142">
        <v>7991.5</v>
      </c>
      <c r="E18" s="142">
        <v>22471.083333333332</v>
      </c>
      <c r="F18" s="142">
        <v>58303.583333333336</v>
      </c>
      <c r="G18" s="19"/>
      <c r="H18" s="19"/>
      <c r="I18" s="19"/>
      <c r="J18" s="19"/>
      <c r="K18" s="152"/>
      <c r="L18" s="152"/>
      <c r="M18" s="152"/>
    </row>
    <row r="19" spans="1:81" s="46" customFormat="1" x14ac:dyDescent="0.25">
      <c r="A19" s="196" t="s">
        <v>546</v>
      </c>
      <c r="B19" s="200" t="s">
        <v>530</v>
      </c>
      <c r="C19" s="143"/>
      <c r="D19" s="142">
        <v>5231.333333333333</v>
      </c>
      <c r="E19" s="142">
        <v>16339.083333333334</v>
      </c>
      <c r="F19" s="142">
        <v>52999.333333333336</v>
      </c>
      <c r="G19" s="19"/>
      <c r="H19" s="19"/>
      <c r="I19" s="19"/>
      <c r="J19" s="19"/>
      <c r="K19" s="152"/>
      <c r="L19" s="152"/>
      <c r="M19" s="152"/>
    </row>
    <row r="20" spans="1:81" s="46" customFormat="1" x14ac:dyDescent="0.25">
      <c r="A20" s="20" t="s">
        <v>547</v>
      </c>
      <c r="B20" s="201" t="s">
        <v>531</v>
      </c>
      <c r="C20" s="143"/>
      <c r="D20" s="142">
        <v>5131.416666666667</v>
      </c>
      <c r="E20" s="142">
        <v>16091.25</v>
      </c>
      <c r="F20" s="142">
        <v>43495.833333333336</v>
      </c>
      <c r="G20" s="19"/>
      <c r="H20" s="19"/>
      <c r="I20" s="19"/>
      <c r="J20" s="19"/>
    </row>
    <row r="21" spans="1:81" s="46" customFormat="1" x14ac:dyDescent="0.25">
      <c r="A21" s="198" t="s">
        <v>548</v>
      </c>
      <c r="B21" s="202" t="s">
        <v>532</v>
      </c>
      <c r="C21" s="169"/>
      <c r="D21" s="170">
        <v>830.75</v>
      </c>
      <c r="E21" s="170">
        <v>5205.833333333333</v>
      </c>
      <c r="F21" s="170">
        <v>19207.083333333332</v>
      </c>
      <c r="G21" s="19"/>
      <c r="H21" s="19"/>
      <c r="I21" s="19"/>
      <c r="J21" s="19"/>
      <c r="K21" s="152"/>
      <c r="L21" s="152"/>
      <c r="M21" s="152"/>
    </row>
    <row r="22" spans="1:81" s="46" customFormat="1" x14ac:dyDescent="0.25">
      <c r="A22" s="197" t="s">
        <v>549</v>
      </c>
      <c r="B22" s="203" t="s">
        <v>533</v>
      </c>
      <c r="C22" s="117"/>
      <c r="D22" s="147">
        <v>1297.4166666666667</v>
      </c>
      <c r="E22" s="147">
        <v>6009.083333333333</v>
      </c>
      <c r="F22" s="147">
        <v>19084.166666666668</v>
      </c>
      <c r="G22" s="152"/>
      <c r="H22" s="152"/>
      <c r="J22" s="152"/>
      <c r="K22" s="152"/>
      <c r="L22" s="152"/>
      <c r="M22" s="152"/>
    </row>
    <row r="23" spans="1:81" s="46" customFormat="1" x14ac:dyDescent="0.25">
      <c r="A23" s="197" t="s">
        <v>550</v>
      </c>
      <c r="B23" s="203" t="s">
        <v>534</v>
      </c>
      <c r="C23" s="117"/>
      <c r="D23" s="147">
        <v>2391.5833333333335</v>
      </c>
      <c r="E23" s="147">
        <v>5302.416666666667</v>
      </c>
      <c r="F23" s="147">
        <v>16831.5</v>
      </c>
    </row>
    <row r="24" spans="1:81" s="46" customFormat="1" x14ac:dyDescent="0.25">
      <c r="A24" s="197" t="s">
        <v>551</v>
      </c>
      <c r="B24" s="203" t="s">
        <v>535</v>
      </c>
      <c r="C24" s="117"/>
      <c r="D24" s="147">
        <v>1491.75</v>
      </c>
      <c r="E24" s="147">
        <v>4065.1666666666665</v>
      </c>
      <c r="F24" s="147">
        <v>7729.166666666667</v>
      </c>
      <c r="G24" s="152"/>
      <c r="H24" s="152"/>
      <c r="J24" s="152"/>
      <c r="K24" s="152"/>
      <c r="L24" s="152"/>
      <c r="M24" s="152"/>
    </row>
    <row r="25" spans="1:81" s="46" customFormat="1" x14ac:dyDescent="0.25">
      <c r="A25" s="197" t="s">
        <v>552</v>
      </c>
      <c r="B25" s="203" t="s">
        <v>536</v>
      </c>
      <c r="C25" s="117"/>
      <c r="D25" s="147">
        <v>869.91666666666663</v>
      </c>
      <c r="E25" s="147">
        <v>2180.6666666666665</v>
      </c>
      <c r="F25" s="147">
        <v>5411.916666666667</v>
      </c>
      <c r="G25" s="152"/>
      <c r="H25" s="152"/>
      <c r="J25" s="152"/>
      <c r="K25" s="152"/>
      <c r="L25" s="152"/>
      <c r="M25" s="152"/>
    </row>
    <row r="26" spans="1:81" s="46" customFormat="1" x14ac:dyDescent="0.25">
      <c r="A26" s="197" t="s">
        <v>553</v>
      </c>
      <c r="B26" s="203" t="s">
        <v>537</v>
      </c>
      <c r="C26" s="117"/>
      <c r="D26" s="147">
        <v>979.83333333333337</v>
      </c>
      <c r="E26" s="147">
        <v>2649.6666666666665</v>
      </c>
      <c r="F26" s="147">
        <v>5226.916666666667</v>
      </c>
      <c r="G26" s="152"/>
      <c r="H26" s="152"/>
      <c r="J26" s="152"/>
      <c r="K26" s="152"/>
      <c r="L26" s="152"/>
      <c r="M26" s="152"/>
    </row>
    <row r="27" spans="1:81" s="46" customFormat="1" x14ac:dyDescent="0.25">
      <c r="A27" s="197" t="s">
        <v>554</v>
      </c>
      <c r="B27" s="203" t="s">
        <v>538</v>
      </c>
      <c r="C27" s="117"/>
      <c r="D27" s="147">
        <v>335.41666666666669</v>
      </c>
      <c r="E27" s="147">
        <v>1016</v>
      </c>
      <c r="F27" s="147">
        <v>2607</v>
      </c>
    </row>
    <row r="28" spans="1:81" x14ac:dyDescent="0.25">
      <c r="A28" s="197" t="s">
        <v>555</v>
      </c>
      <c r="B28" s="199" t="s">
        <v>539</v>
      </c>
      <c r="C28" s="117"/>
      <c r="D28" s="147">
        <v>365.33333333333331</v>
      </c>
      <c r="E28" s="147">
        <v>798.91666666666663</v>
      </c>
      <c r="F28" s="147">
        <v>2316.25</v>
      </c>
      <c r="G28" s="16"/>
      <c r="H28" s="16"/>
      <c r="J28" s="16"/>
      <c r="K28" s="16"/>
      <c r="L28" s="16"/>
      <c r="M28" s="16"/>
    </row>
    <row r="29" spans="1:81" x14ac:dyDescent="0.25">
      <c r="A29" s="197" t="s">
        <v>556</v>
      </c>
      <c r="B29" s="203" t="s">
        <v>540</v>
      </c>
      <c r="C29" s="117"/>
      <c r="D29" s="147">
        <v>115.91666666666667</v>
      </c>
      <c r="E29" s="147">
        <v>232.83333333333334</v>
      </c>
      <c r="F29" s="147">
        <v>788.75</v>
      </c>
      <c r="G29" s="16"/>
      <c r="H29" s="16"/>
      <c r="J29" s="16"/>
      <c r="K29" s="16"/>
      <c r="L29" s="16"/>
      <c r="M29" s="16"/>
    </row>
    <row r="30" spans="1:81" x14ac:dyDescent="0.25">
      <c r="A30" s="20" t="s">
        <v>557</v>
      </c>
      <c r="B30" s="199" t="s">
        <v>541</v>
      </c>
      <c r="C30" s="117"/>
      <c r="D30" s="147">
        <v>14.166666666666666</v>
      </c>
      <c r="E30" s="147">
        <v>53.75</v>
      </c>
      <c r="F30" s="147">
        <v>193.58333333333334</v>
      </c>
    </row>
    <row r="32" spans="1:81" x14ac:dyDescent="0.25">
      <c r="A32" s="8"/>
    </row>
    <row r="33" spans="1:1" x14ac:dyDescent="0.25">
      <c r="A33" s="28" t="s">
        <v>1640</v>
      </c>
    </row>
    <row r="34" spans="1:1" x14ac:dyDescent="0.25">
      <c r="A34" s="29" t="s">
        <v>1641</v>
      </c>
    </row>
  </sheetData>
  <hyperlinks>
    <hyperlink ref="A5" location="Índice!A1" display="Índice/Contents" xr:uid="{899AEB95-7712-475F-8776-95092D54180E}"/>
  </hyperlinks>
  <pageMargins left="0.7" right="0.7" top="0.75" bottom="0.75" header="0.3" footer="0.3"/>
  <pageSetup paperSize="9" orientation="portrait" horizontalDpi="1200" verticalDpi="120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259E-D8EF-4AE5-B9B2-E4B2C4526829}">
  <sheetPr codeName="Sheet26">
    <tabColor theme="4"/>
  </sheetPr>
  <dimension ref="A5:CC33"/>
  <sheetViews>
    <sheetView showGridLines="0" showRowColHeaders="0" topLeftCell="A2" workbookViewId="0">
      <selection activeCell="A34" sqref="A34"/>
    </sheetView>
  </sheetViews>
  <sheetFormatPr defaultRowHeight="15" x14ac:dyDescent="0.25"/>
  <cols>
    <col min="1" max="1" width="61.140625" customWidth="1"/>
    <col min="2" max="2" width="40.42578125" customWidth="1"/>
    <col min="3" max="3" width="10.140625" bestFit="1" customWidth="1"/>
    <col min="4" max="5" width="11.140625" bestFit="1" customWidth="1"/>
  </cols>
  <sheetData>
    <row r="5" spans="1:65" ht="36" customHeight="1" x14ac:dyDescent="0.25">
      <c r="A5" s="10" t="s">
        <v>3</v>
      </c>
    </row>
    <row r="6" spans="1:65" ht="18.75" x14ac:dyDescent="0.25">
      <c r="A6" s="6" t="s">
        <v>179</v>
      </c>
    </row>
    <row r="7" spans="1:65" x14ac:dyDescent="0.25">
      <c r="A7" s="78" t="str">
        <f>+Índice!A95</f>
        <v>Parte II. Tema em Destaque: Caraterização dos trabalhadores estrangeiros por conta de outrem em Portugal / Part II Special Issue: Characterization of foreign employees in Portugal</v>
      </c>
    </row>
    <row r="8" spans="1:65" ht="18.75" x14ac:dyDescent="0.25">
      <c r="A8" s="6"/>
    </row>
    <row r="9" spans="1:65" x14ac:dyDescent="0.25">
      <c r="A9" s="7"/>
    </row>
    <row r="10" spans="1:65" x14ac:dyDescent="0.25">
      <c r="A10" t="s">
        <v>558</v>
      </c>
    </row>
    <row r="11" spans="1:65" x14ac:dyDescent="0.25">
      <c r="A11" s="8" t="s">
        <v>1616</v>
      </c>
    </row>
    <row r="13" spans="1:65" x14ac:dyDescent="0.25">
      <c r="A13" s="296" t="s">
        <v>2</v>
      </c>
      <c r="C13" s="50" t="s">
        <v>4</v>
      </c>
      <c r="D13" s="50" t="s">
        <v>4</v>
      </c>
      <c r="E13" s="50" t="s">
        <v>4</v>
      </c>
      <c r="F13" s="17"/>
      <c r="G13" s="17"/>
      <c r="H13" s="17"/>
      <c r="I13" s="17"/>
      <c r="J13" s="17"/>
    </row>
    <row r="14" spans="1:65" ht="15" customHeight="1" x14ac:dyDescent="0.25">
      <c r="A14" s="117"/>
      <c r="B14" s="117"/>
      <c r="C14" s="168">
        <v>2014</v>
      </c>
      <c r="D14" s="168">
        <v>2019</v>
      </c>
      <c r="E14" s="168">
        <v>2023</v>
      </c>
      <c r="F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5" ht="15" customHeight="1" x14ac:dyDescent="0.25">
      <c r="A15" s="20" t="s">
        <v>547</v>
      </c>
      <c r="B15" s="199" t="s">
        <v>531</v>
      </c>
      <c r="C15" s="118">
        <v>9.3074763213408271</v>
      </c>
      <c r="D15" s="118">
        <v>20.783639958135513</v>
      </c>
      <c r="E15" s="118">
        <v>41.107022092557074</v>
      </c>
      <c r="F15" s="18"/>
      <c r="H15" s="18"/>
      <c r="I15" s="18"/>
      <c r="J15" s="18"/>
      <c r="K15" s="79"/>
      <c r="L15" s="79"/>
      <c r="M15" s="79"/>
    </row>
    <row r="16" spans="1:65" x14ac:dyDescent="0.25">
      <c r="A16" s="195" t="s">
        <v>543</v>
      </c>
      <c r="B16" s="199" t="s">
        <v>527</v>
      </c>
      <c r="C16" s="128">
        <v>5.263056981585132</v>
      </c>
      <c r="D16" s="128">
        <v>15.876525642634187</v>
      </c>
      <c r="E16" s="128">
        <v>31.123908583285331</v>
      </c>
      <c r="F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row>
    <row r="17" spans="1:81" x14ac:dyDescent="0.25">
      <c r="A17" s="24" t="s">
        <v>542</v>
      </c>
      <c r="B17" s="199" t="s">
        <v>526</v>
      </c>
      <c r="C17" s="128">
        <v>3.399735148635028</v>
      </c>
      <c r="D17" s="128">
        <v>11.230572085983942</v>
      </c>
      <c r="E17" s="128">
        <v>28.107216083135949</v>
      </c>
      <c r="F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0"/>
      <c r="BO17" s="80"/>
      <c r="BP17" s="80"/>
      <c r="BQ17" s="80"/>
      <c r="BR17" s="80"/>
      <c r="BS17" s="80"/>
      <c r="BT17" s="80"/>
      <c r="BU17" s="80"/>
      <c r="BV17" s="80"/>
      <c r="BW17" s="80"/>
      <c r="BX17" s="80"/>
      <c r="BY17" s="80"/>
      <c r="BZ17" s="80"/>
      <c r="CA17" s="80"/>
      <c r="CB17" s="80"/>
      <c r="CC17" s="80"/>
    </row>
    <row r="18" spans="1:81" x14ac:dyDescent="0.25">
      <c r="A18" s="196" t="s">
        <v>544</v>
      </c>
      <c r="B18" s="200" t="s">
        <v>528</v>
      </c>
      <c r="C18" s="128">
        <v>2.9898857421258898</v>
      </c>
      <c r="D18" s="128">
        <v>9.9665869910492173</v>
      </c>
      <c r="E18" s="128">
        <v>23.175084999053237</v>
      </c>
      <c r="F18" s="19"/>
      <c r="H18" s="19"/>
      <c r="I18" s="19"/>
      <c r="J18" s="19"/>
      <c r="K18" s="16"/>
      <c r="L18" s="16"/>
      <c r="M18" s="16"/>
    </row>
    <row r="19" spans="1:81" x14ac:dyDescent="0.25">
      <c r="A19" s="196" t="s">
        <v>552</v>
      </c>
      <c r="B19" s="200" t="s">
        <v>536</v>
      </c>
      <c r="C19" s="128">
        <v>3.8045347165519843</v>
      </c>
      <c r="D19" s="128">
        <v>7.1817641607933052</v>
      </c>
      <c r="E19" s="128">
        <v>13.344275158603235</v>
      </c>
      <c r="F19" s="19"/>
      <c r="H19" s="19"/>
      <c r="I19" s="19"/>
      <c r="J19" s="19"/>
      <c r="K19" s="16"/>
      <c r="L19" s="16"/>
      <c r="M19" s="16"/>
    </row>
    <row r="20" spans="1:81" x14ac:dyDescent="0.25">
      <c r="A20" s="20" t="s">
        <v>553</v>
      </c>
      <c r="B20" s="201" t="s">
        <v>537</v>
      </c>
      <c r="C20" s="128">
        <v>4.1923835387492145</v>
      </c>
      <c r="D20" s="128">
        <v>8.0512806507964481</v>
      </c>
      <c r="E20" s="128">
        <v>13.106567983937467</v>
      </c>
      <c r="F20" s="19"/>
      <c r="H20" s="19"/>
      <c r="I20" s="19"/>
      <c r="J20" s="19"/>
    </row>
    <row r="21" spans="1:81" x14ac:dyDescent="0.25">
      <c r="A21" s="198" t="s">
        <v>548</v>
      </c>
      <c r="B21" s="202" t="s">
        <v>532</v>
      </c>
      <c r="C21" s="131">
        <v>1.0783123041653728</v>
      </c>
      <c r="D21" s="131">
        <v>4.9017965081057771</v>
      </c>
      <c r="E21" s="131">
        <v>12.799511779095244</v>
      </c>
      <c r="F21" s="19"/>
      <c r="H21" s="19"/>
      <c r="I21" s="19"/>
      <c r="J21" s="19"/>
      <c r="K21" s="16"/>
      <c r="L21" s="16"/>
      <c r="M21" s="16"/>
    </row>
    <row r="22" spans="1:81" x14ac:dyDescent="0.25">
      <c r="A22" s="197" t="s">
        <v>551</v>
      </c>
      <c r="B22" s="203" t="s">
        <v>535</v>
      </c>
      <c r="C22" s="118">
        <v>2.3234492175597006</v>
      </c>
      <c r="D22" s="118">
        <v>5.5907420843901008</v>
      </c>
      <c r="E22" s="118">
        <v>10.124960074776093</v>
      </c>
      <c r="F22" s="16"/>
      <c r="H22" s="16"/>
      <c r="J22" s="16"/>
      <c r="K22" s="16"/>
      <c r="L22" s="16"/>
      <c r="M22" s="16"/>
    </row>
    <row r="23" spans="1:81" x14ac:dyDescent="0.25">
      <c r="A23" s="197" t="s">
        <v>549</v>
      </c>
      <c r="B23" s="203" t="s">
        <v>533</v>
      </c>
      <c r="C23" s="118">
        <v>1.2596152081969851</v>
      </c>
      <c r="D23" s="118">
        <v>4.1626460880946157</v>
      </c>
      <c r="E23" s="118">
        <v>9.9394311222305944</v>
      </c>
    </row>
    <row r="24" spans="1:81" x14ac:dyDescent="0.25">
      <c r="A24" s="197" t="s">
        <v>550</v>
      </c>
      <c r="B24" s="203" t="s">
        <v>534</v>
      </c>
      <c r="C24" s="118">
        <v>1.8188482069839422</v>
      </c>
      <c r="D24" s="118">
        <v>3.3049526132433185</v>
      </c>
      <c r="E24" s="118">
        <v>9.4811744308334216</v>
      </c>
      <c r="F24" s="16"/>
      <c r="H24" s="16"/>
      <c r="J24" s="16"/>
      <c r="K24" s="16"/>
      <c r="L24" s="16"/>
      <c r="M24" s="16"/>
    </row>
    <row r="25" spans="1:81" x14ac:dyDescent="0.25">
      <c r="A25" s="197" t="s">
        <v>545</v>
      </c>
      <c r="B25" s="203" t="s">
        <v>529</v>
      </c>
      <c r="C25" s="118">
        <v>1.7445500541658732</v>
      </c>
      <c r="D25" s="118">
        <v>3.9933371494092498</v>
      </c>
      <c r="E25" s="118">
        <v>9.2351487434828101</v>
      </c>
      <c r="F25" s="16"/>
      <c r="H25" s="16"/>
      <c r="J25" s="16"/>
      <c r="K25" s="16"/>
      <c r="L25" s="16"/>
      <c r="M25" s="16"/>
    </row>
    <row r="26" spans="1:81" x14ac:dyDescent="0.25">
      <c r="A26" s="197" t="s">
        <v>556</v>
      </c>
      <c r="B26" s="203" t="s">
        <v>540</v>
      </c>
      <c r="C26" s="118">
        <v>1.4952996915597707</v>
      </c>
      <c r="D26" s="118">
        <v>2.8232107054906046</v>
      </c>
      <c r="E26" s="118">
        <v>8.6948608651410151</v>
      </c>
      <c r="F26" s="16"/>
      <c r="H26" s="16"/>
      <c r="J26" s="16"/>
      <c r="K26" s="16"/>
      <c r="L26" s="16"/>
      <c r="M26" s="16"/>
    </row>
    <row r="27" spans="1:81" x14ac:dyDescent="0.25">
      <c r="A27" s="197" t="s">
        <v>546</v>
      </c>
      <c r="B27" s="203" t="s">
        <v>530</v>
      </c>
      <c r="C27" s="118">
        <v>0.94489912940102749</v>
      </c>
      <c r="D27" s="118">
        <v>2.4596011859936104</v>
      </c>
      <c r="E27" s="118">
        <v>7.8164381924153119</v>
      </c>
    </row>
    <row r="28" spans="1:81" x14ac:dyDescent="0.25">
      <c r="A28" s="197" t="s">
        <v>555</v>
      </c>
      <c r="B28" s="199" t="s">
        <v>539</v>
      </c>
      <c r="C28" s="118">
        <v>1.7745786587428938</v>
      </c>
      <c r="D28" s="118">
        <v>2.8833692468567516</v>
      </c>
      <c r="E28" s="118">
        <v>6.977956503102158</v>
      </c>
      <c r="F28" s="16"/>
      <c r="H28" s="16"/>
      <c r="J28" s="16"/>
      <c r="K28" s="16"/>
      <c r="L28" s="16"/>
      <c r="M28" s="16"/>
    </row>
    <row r="29" spans="1:81" x14ac:dyDescent="0.25">
      <c r="A29" s="197" t="s">
        <v>554</v>
      </c>
      <c r="B29" s="203" t="s">
        <v>538</v>
      </c>
      <c r="C29" s="118">
        <v>0.46657675356225381</v>
      </c>
      <c r="D29" s="118">
        <v>1.4136087458861319</v>
      </c>
      <c r="E29" s="118">
        <v>3.3717041241692893</v>
      </c>
      <c r="F29" s="16"/>
      <c r="H29" s="16"/>
      <c r="J29" s="16"/>
      <c r="K29" s="16"/>
      <c r="L29" s="16"/>
      <c r="M29" s="16"/>
    </row>
    <row r="30" spans="1:81" x14ac:dyDescent="0.25">
      <c r="A30" s="20" t="s">
        <v>557</v>
      </c>
      <c r="B30" s="199" t="s">
        <v>541</v>
      </c>
      <c r="C30" s="118">
        <v>0.11974995591752986</v>
      </c>
      <c r="D30" s="118">
        <v>0.44379627085305756</v>
      </c>
      <c r="E30" s="118">
        <v>1.7561119150191735</v>
      </c>
    </row>
    <row r="32" spans="1:81" x14ac:dyDescent="0.25">
      <c r="A32" s="28" t="s">
        <v>1642</v>
      </c>
    </row>
    <row r="33" spans="1:1" x14ac:dyDescent="0.25">
      <c r="A33" s="29" t="s">
        <v>1643</v>
      </c>
    </row>
  </sheetData>
  <hyperlinks>
    <hyperlink ref="A5" location="Índice!A1" display="Índice/Contents" xr:uid="{3B01831D-2788-47D7-8781-6AA722D99801}"/>
  </hyperlinks>
  <pageMargins left="0.7" right="0.7" top="0.75" bottom="0.75" header="0.3" footer="0.3"/>
  <pageSetup paperSize="9" orientation="portrait" horizontalDpi="1200" verticalDpi="1200"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1E4B0-059E-49E6-9562-C6371C899511}">
  <sheetPr codeName="Sheet27">
    <tabColor theme="4"/>
  </sheetPr>
  <dimension ref="A5:CC46"/>
  <sheetViews>
    <sheetView showGridLines="0" showRowColHeaders="0" topLeftCell="A8" zoomScaleNormal="100" workbookViewId="0">
      <selection activeCell="E38" sqref="E38"/>
    </sheetView>
  </sheetViews>
  <sheetFormatPr defaultRowHeight="15" x14ac:dyDescent="0.25"/>
  <cols>
    <col min="1" max="1" width="61.140625" style="46" customWidth="1"/>
    <col min="2" max="2" width="40.42578125" style="46" customWidth="1"/>
    <col min="3" max="5" width="24.5703125" customWidth="1"/>
    <col min="7" max="7" width="11.5703125" bestFit="1" customWidth="1"/>
    <col min="8" max="8" width="15.5703125" customWidth="1"/>
    <col min="9" max="9" width="20.42578125" customWidth="1"/>
  </cols>
  <sheetData>
    <row r="5" spans="1:11" ht="36" customHeight="1" x14ac:dyDescent="0.25">
      <c r="A5" s="10" t="s">
        <v>3</v>
      </c>
    </row>
    <row r="6" spans="1:11" ht="18.75" x14ac:dyDescent="0.25">
      <c r="A6" s="207" t="s">
        <v>179</v>
      </c>
    </row>
    <row r="7" spans="1:11" x14ac:dyDescent="0.25">
      <c r="A7" s="78" t="str">
        <f>+Índice!A95</f>
        <v>Parte II. Tema em Destaque: Caraterização dos trabalhadores estrangeiros por conta de outrem em Portugal / Part II Special Issue: Characterization of foreign employees in Portugal</v>
      </c>
    </row>
    <row r="8" spans="1:11" ht="18.75" x14ac:dyDescent="0.25">
      <c r="A8" s="207"/>
    </row>
    <row r="9" spans="1:11" x14ac:dyDescent="0.25">
      <c r="A9" s="208"/>
    </row>
    <row r="10" spans="1:11" x14ac:dyDescent="0.25">
      <c r="A10" s="46" t="s">
        <v>188</v>
      </c>
    </row>
    <row r="11" spans="1:11" x14ac:dyDescent="0.25">
      <c r="A11" s="209" t="s">
        <v>559</v>
      </c>
    </row>
    <row r="13" spans="1:11" x14ac:dyDescent="0.25">
      <c r="A13" s="321" t="s">
        <v>2</v>
      </c>
      <c r="C13" s="319" t="s">
        <v>4</v>
      </c>
      <c r="D13" s="319" t="s">
        <v>4</v>
      </c>
      <c r="E13" s="319" t="s">
        <v>4</v>
      </c>
      <c r="F13" s="319" t="s">
        <v>4</v>
      </c>
      <c r="G13" s="319" t="s">
        <v>4</v>
      </c>
      <c r="H13" s="319" t="s">
        <v>4</v>
      </c>
      <c r="I13" s="319" t="s">
        <v>4</v>
      </c>
    </row>
    <row r="15" spans="1:11" x14ac:dyDescent="0.25">
      <c r="K15" s="76"/>
    </row>
    <row r="16" spans="1:11" x14ac:dyDescent="0.25">
      <c r="A16" s="9"/>
      <c r="C16" s="458" t="s">
        <v>582</v>
      </c>
      <c r="D16" s="458"/>
      <c r="E16" s="458"/>
      <c r="F16" s="458"/>
      <c r="G16" s="459"/>
      <c r="H16" s="458" t="s">
        <v>564</v>
      </c>
      <c r="I16" s="458"/>
      <c r="J16" s="17"/>
      <c r="K16" s="76"/>
    </row>
    <row r="17" spans="1:81" s="76" customFormat="1" ht="15" customHeight="1" x14ac:dyDescent="0.25">
      <c r="A17" s="183"/>
      <c r="B17" s="210"/>
      <c r="C17" s="457" t="s">
        <v>581</v>
      </c>
      <c r="D17" s="457"/>
      <c r="E17" s="457"/>
      <c r="F17" s="457"/>
      <c r="G17" s="460"/>
      <c r="H17" s="457" t="s">
        <v>68</v>
      </c>
      <c r="I17" s="457"/>
      <c r="J17" s="155"/>
      <c r="K17" s="156"/>
      <c r="L17" s="156"/>
      <c r="M17" s="156"/>
    </row>
    <row r="18" spans="1:81" s="76" customFormat="1" ht="15" customHeight="1" x14ac:dyDescent="0.25">
      <c r="A18" s="183"/>
      <c r="B18" s="210"/>
      <c r="C18" s="410" t="s">
        <v>218</v>
      </c>
      <c r="D18" s="410" t="s">
        <v>224</v>
      </c>
      <c r="E18" s="410" t="s">
        <v>225</v>
      </c>
      <c r="F18" s="410" t="s">
        <v>223</v>
      </c>
      <c r="G18" s="411" t="s">
        <v>221</v>
      </c>
      <c r="H18" s="173" t="s">
        <v>562</v>
      </c>
      <c r="I18" s="173" t="s">
        <v>563</v>
      </c>
      <c r="J18" s="155"/>
      <c r="K18" s="410"/>
      <c r="L18" s="156"/>
      <c r="M18" s="156"/>
    </row>
    <row r="19" spans="1:81" s="76" customFormat="1" ht="15" customHeight="1" x14ac:dyDescent="0.25">
      <c r="A19" s="183"/>
      <c r="B19" s="211"/>
      <c r="C19" s="408" t="s">
        <v>218</v>
      </c>
      <c r="D19" s="408" t="s">
        <v>222</v>
      </c>
      <c r="E19" s="408" t="s">
        <v>219</v>
      </c>
      <c r="F19" s="413" t="s">
        <v>220</v>
      </c>
      <c r="G19" s="414" t="s">
        <v>221</v>
      </c>
      <c r="H19" s="171" t="s">
        <v>560</v>
      </c>
      <c r="I19" s="171" t="s">
        <v>561</v>
      </c>
      <c r="J19" s="157"/>
      <c r="K19" s="409"/>
      <c r="L19" s="158"/>
      <c r="M19" s="158"/>
    </row>
    <row r="20" spans="1:81" s="76" customFormat="1" x14ac:dyDescent="0.25">
      <c r="A20" s="212" t="s">
        <v>547</v>
      </c>
      <c r="B20" s="210" t="s">
        <v>531</v>
      </c>
      <c r="C20" s="205">
        <v>13.829293993677554</v>
      </c>
      <c r="D20" s="205">
        <v>4.925759172334514</v>
      </c>
      <c r="E20" s="205">
        <v>0.35616438356164376</v>
      </c>
      <c r="F20" s="412">
        <v>34.625538844716921</v>
      </c>
      <c r="G20" s="415">
        <v>15.32311524092346</v>
      </c>
      <c r="H20" s="103">
        <v>8.1988696235271572</v>
      </c>
      <c r="I20" s="103">
        <v>22.74125874125874</v>
      </c>
      <c r="J20" s="159"/>
      <c r="K20" s="205"/>
      <c r="L20" s="160"/>
      <c r="M20" s="160"/>
    </row>
    <row r="21" spans="1:81" s="76" customFormat="1" x14ac:dyDescent="0.25">
      <c r="A21" s="213" t="s">
        <v>543</v>
      </c>
      <c r="B21" s="210" t="s">
        <v>527</v>
      </c>
      <c r="C21" s="205">
        <v>5.5487217143740244</v>
      </c>
      <c r="D21" s="205">
        <v>42.177395797321672</v>
      </c>
      <c r="E21" s="205">
        <v>5.5721265037800523</v>
      </c>
      <c r="F21" s="412">
        <v>6.1693952899201294</v>
      </c>
      <c r="G21" s="415">
        <v>13.841074333432491</v>
      </c>
      <c r="H21" s="103">
        <v>7.1595429455552777</v>
      </c>
      <c r="I21" s="103">
        <v>19.531743415616354</v>
      </c>
      <c r="J21" s="160"/>
      <c r="K21" s="205"/>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row>
    <row r="22" spans="1:81" s="76" customFormat="1" x14ac:dyDescent="0.25">
      <c r="A22" s="214" t="s">
        <v>542</v>
      </c>
      <c r="B22" s="210" t="s">
        <v>526</v>
      </c>
      <c r="C22" s="205">
        <v>1.8797552295006448</v>
      </c>
      <c r="D22" s="205">
        <v>42.42772834898345</v>
      </c>
      <c r="E22" s="205">
        <v>5.710934295649114</v>
      </c>
      <c r="F22" s="412">
        <v>8.5839484961348589</v>
      </c>
      <c r="G22" s="415">
        <v>3.0075561179127108</v>
      </c>
      <c r="H22" s="103">
        <v>12.035710646924565</v>
      </c>
      <c r="I22" s="103">
        <v>26.354366864894661</v>
      </c>
      <c r="J22" s="161"/>
      <c r="K22" s="205"/>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row>
    <row r="23" spans="1:81" s="76" customFormat="1" x14ac:dyDescent="0.25">
      <c r="A23" s="41" t="s">
        <v>544</v>
      </c>
      <c r="B23" s="210" t="s">
        <v>528</v>
      </c>
      <c r="C23" s="205">
        <v>1.7653233436776987</v>
      </c>
      <c r="D23" s="205">
        <v>37.731694927087865</v>
      </c>
      <c r="E23" s="205">
        <v>8.6596543264566161</v>
      </c>
      <c r="F23" s="412">
        <v>7.9175323752958242</v>
      </c>
      <c r="G23" s="415">
        <v>0.67904459472798484</v>
      </c>
      <c r="H23" s="103">
        <v>8.1943986344474578</v>
      </c>
      <c r="I23" s="103">
        <v>35.052351798306539</v>
      </c>
      <c r="J23" s="161"/>
      <c r="K23" s="205"/>
      <c r="L23" s="160"/>
      <c r="M23" s="160"/>
    </row>
    <row r="24" spans="1:81" s="76" customFormat="1" x14ac:dyDescent="0.25">
      <c r="A24" s="41" t="s">
        <v>552</v>
      </c>
      <c r="B24" s="210" t="s">
        <v>536</v>
      </c>
      <c r="C24" s="205">
        <v>1.1486996289053477</v>
      </c>
      <c r="D24" s="205">
        <v>41.214603575443078</v>
      </c>
      <c r="E24" s="205">
        <v>5.8020109942565012</v>
      </c>
      <c r="F24" s="412">
        <v>3.6770706619651072</v>
      </c>
      <c r="G24" s="415">
        <v>2.8055371633586379</v>
      </c>
      <c r="H24" s="103">
        <v>21.474215850823029</v>
      </c>
      <c r="I24" s="103">
        <v>23.877862125248292</v>
      </c>
      <c r="J24" s="160"/>
      <c r="K24" s="205"/>
      <c r="L24" s="160"/>
      <c r="M24" s="160"/>
    </row>
    <row r="25" spans="1:81" s="76" customFormat="1" x14ac:dyDescent="0.25">
      <c r="A25" s="212" t="s">
        <v>553</v>
      </c>
      <c r="B25" s="210" t="s">
        <v>537</v>
      </c>
      <c r="C25" s="205">
        <v>1.9370884683449452</v>
      </c>
      <c r="D25" s="205">
        <v>48.487795545493675</v>
      </c>
      <c r="E25" s="205">
        <v>3.1678969437048612</v>
      </c>
      <c r="F25" s="412">
        <v>1.6501123989605089</v>
      </c>
      <c r="G25" s="415">
        <v>1.8382411555569727</v>
      </c>
      <c r="H25" s="103">
        <v>20.604881781802529</v>
      </c>
      <c r="I25" s="103">
        <v>22.313983706136504</v>
      </c>
      <c r="K25" s="205"/>
      <c r="L25" s="160"/>
      <c r="M25" s="160"/>
    </row>
    <row r="26" spans="1:81" s="76" customFormat="1" x14ac:dyDescent="0.25">
      <c r="A26" s="209" t="s">
        <v>548</v>
      </c>
      <c r="B26" s="210" t="s">
        <v>532</v>
      </c>
      <c r="C26" s="205">
        <v>0.42909516888300764</v>
      </c>
      <c r="D26" s="205">
        <v>48.022214026943182</v>
      </c>
      <c r="E26" s="205">
        <v>1.0382454389656595</v>
      </c>
      <c r="F26" s="412">
        <v>2.5932273249886109</v>
      </c>
      <c r="G26" s="415">
        <v>0.24209818426361804</v>
      </c>
      <c r="H26" s="103">
        <v>32.986962275202295</v>
      </c>
      <c r="I26" s="103">
        <v>14.688157580753627</v>
      </c>
      <c r="J26" s="162"/>
      <c r="K26" s="205"/>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0"/>
      <c r="BQ26" s="160"/>
      <c r="BR26" s="160"/>
      <c r="BS26" s="160"/>
      <c r="BT26" s="160"/>
      <c r="BU26" s="160"/>
      <c r="BV26" s="160"/>
      <c r="BW26" s="160"/>
      <c r="BX26" s="160"/>
      <c r="BY26" s="160"/>
      <c r="BZ26" s="160"/>
      <c r="CA26" s="160"/>
      <c r="CB26" s="160"/>
      <c r="CC26" s="160"/>
    </row>
    <row r="27" spans="1:81" s="76" customFormat="1" x14ac:dyDescent="0.25">
      <c r="A27" s="215" t="s">
        <v>551</v>
      </c>
      <c r="B27" s="210" t="s">
        <v>535</v>
      </c>
      <c r="C27" s="205">
        <v>1.4264150943396225</v>
      </c>
      <c r="D27" s="205">
        <v>48.725606469002699</v>
      </c>
      <c r="E27" s="205">
        <v>3.6194070080862533</v>
      </c>
      <c r="F27" s="412">
        <v>7.6743935309973033</v>
      </c>
      <c r="G27" s="415">
        <v>2.2835579514824795</v>
      </c>
      <c r="H27" s="103">
        <v>14.22210242587601</v>
      </c>
      <c r="I27" s="103">
        <v>22.048517520215633</v>
      </c>
      <c r="J27" s="161"/>
      <c r="K27" s="205"/>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row>
    <row r="28" spans="1:81" s="76" customFormat="1" x14ac:dyDescent="0.25">
      <c r="A28" s="215" t="s">
        <v>549</v>
      </c>
      <c r="B28" s="210" t="s">
        <v>533</v>
      </c>
      <c r="C28" s="205">
        <v>0.92790707829352426</v>
      </c>
      <c r="D28" s="205">
        <v>42.21256713680625</v>
      </c>
      <c r="E28" s="205">
        <v>2.6129863324745641</v>
      </c>
      <c r="F28" s="412">
        <v>2.5151740098685647</v>
      </c>
      <c r="G28" s="415">
        <v>0.63971005632941791</v>
      </c>
      <c r="H28" s="103">
        <v>30.926160429675559</v>
      </c>
      <c r="I28" s="103">
        <v>20.165494956552113</v>
      </c>
      <c r="J28" s="163"/>
      <c r="K28" s="205"/>
      <c r="L28" s="160"/>
      <c r="M28" s="160"/>
    </row>
    <row r="29" spans="1:81" s="76" customFormat="1" x14ac:dyDescent="0.25">
      <c r="A29" s="215" t="s">
        <v>550</v>
      </c>
      <c r="B29" s="210" t="s">
        <v>534</v>
      </c>
      <c r="C29" s="205">
        <v>7.5854796066898373</v>
      </c>
      <c r="D29" s="205">
        <v>48.252780005743205</v>
      </c>
      <c r="E29" s="205">
        <v>3.522660883858638</v>
      </c>
      <c r="F29" s="412">
        <v>8.8692827931754934</v>
      </c>
      <c r="G29" s="415">
        <v>1.1625028468447058</v>
      </c>
      <c r="H29" s="103">
        <v>16.070562140431136</v>
      </c>
      <c r="I29" s="103">
        <v>14.536731723256988</v>
      </c>
      <c r="J29" s="163"/>
      <c r="K29" s="205"/>
      <c r="L29" s="160"/>
      <c r="M29" s="160"/>
    </row>
    <row r="30" spans="1:81" s="76" customFormat="1" x14ac:dyDescent="0.25">
      <c r="A30" s="215" t="s">
        <v>545</v>
      </c>
      <c r="B30" s="210" t="s">
        <v>529</v>
      </c>
      <c r="C30" s="205">
        <v>7.8935971631246211</v>
      </c>
      <c r="D30" s="205">
        <v>46.325626069295339</v>
      </c>
      <c r="E30" s="205">
        <v>3.5595296458336612</v>
      </c>
      <c r="F30" s="412">
        <v>6.1401314670481941</v>
      </c>
      <c r="G30" s="415">
        <v>3.3252673149020286</v>
      </c>
      <c r="H30" s="103">
        <v>9.2255621795687226</v>
      </c>
      <c r="I30" s="103">
        <v>23.53028616022743</v>
      </c>
      <c r="J30" s="163"/>
      <c r="K30" s="205"/>
      <c r="L30" s="160"/>
      <c r="M30" s="160"/>
    </row>
    <row r="31" spans="1:81" s="76" customFormat="1" x14ac:dyDescent="0.25">
      <c r="A31" s="215" t="s">
        <v>556</v>
      </c>
      <c r="B31" s="210" t="s">
        <v>540</v>
      </c>
      <c r="C31" s="205">
        <v>2.6624405705229797</v>
      </c>
      <c r="D31" s="205">
        <v>33.312202852614895</v>
      </c>
      <c r="E31" s="205">
        <v>4.3106180665610143</v>
      </c>
      <c r="F31" s="412">
        <v>14.432118330692024</v>
      </c>
      <c r="G31" s="415">
        <v>1.9228737453777074</v>
      </c>
      <c r="H31" s="103">
        <v>19.535129424194402</v>
      </c>
      <c r="I31" s="103">
        <v>23.824617010036977</v>
      </c>
      <c r="J31" s="162"/>
      <c r="K31" s="205"/>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row>
    <row r="32" spans="1:81" s="76" customFormat="1" x14ac:dyDescent="0.25">
      <c r="A32" s="215" t="s">
        <v>546</v>
      </c>
      <c r="B32" s="210" t="s">
        <v>530</v>
      </c>
      <c r="C32" s="205">
        <v>1.1295739569051182</v>
      </c>
      <c r="D32" s="205">
        <v>56.626498446521346</v>
      </c>
      <c r="E32" s="205">
        <v>2.565126605366105</v>
      </c>
      <c r="F32" s="412">
        <v>8.3379979622385179</v>
      </c>
      <c r="G32" s="415">
        <v>3.5005157297576068</v>
      </c>
      <c r="H32" s="103">
        <v>9.7111284418671922</v>
      </c>
      <c r="I32" s="103">
        <v>18.12915885734412</v>
      </c>
      <c r="J32" s="162"/>
      <c r="K32" s="205"/>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row>
    <row r="33" spans="1:13" s="76" customFormat="1" x14ac:dyDescent="0.25">
      <c r="A33" s="215" t="s">
        <v>555</v>
      </c>
      <c r="B33" s="210" t="s">
        <v>539</v>
      </c>
      <c r="C33" s="205">
        <v>1.5002698327037238</v>
      </c>
      <c r="D33" s="205">
        <v>41.622593991725132</v>
      </c>
      <c r="E33" s="205">
        <v>6.7206332074114039</v>
      </c>
      <c r="F33" s="412">
        <v>14.13203813635546</v>
      </c>
      <c r="G33" s="415">
        <v>1.5038676020867063</v>
      </c>
      <c r="H33" s="103">
        <v>13.193020327397011</v>
      </c>
      <c r="I33" s="103">
        <v>21.327576902320562</v>
      </c>
      <c r="J33" s="164"/>
      <c r="K33" s="205"/>
      <c r="L33" s="160"/>
      <c r="M33" s="160"/>
    </row>
    <row r="34" spans="1:13" s="76" customFormat="1" x14ac:dyDescent="0.25">
      <c r="A34" s="215" t="s">
        <v>554</v>
      </c>
      <c r="B34" s="210" t="s">
        <v>538</v>
      </c>
      <c r="C34" s="205">
        <v>1.3585219281421812</v>
      </c>
      <c r="D34" s="205">
        <v>35.609257128244472</v>
      </c>
      <c r="E34" s="205">
        <v>1.6526019690576654</v>
      </c>
      <c r="F34" s="412">
        <v>1.7612837233090397</v>
      </c>
      <c r="G34" s="415">
        <v>0.20777394195115717</v>
      </c>
      <c r="H34" s="103">
        <v>41.062523973916385</v>
      </c>
      <c r="I34" s="103">
        <v>18.348037335379107</v>
      </c>
      <c r="J34" s="163"/>
      <c r="K34" s="205"/>
    </row>
    <row r="35" spans="1:13" s="76" customFormat="1" x14ac:dyDescent="0.25">
      <c r="A35" s="212" t="s">
        <v>557</v>
      </c>
      <c r="B35" s="210" t="s">
        <v>541</v>
      </c>
      <c r="C35" s="205">
        <v>0</v>
      </c>
      <c r="D35" s="205">
        <v>47.137322427894965</v>
      </c>
      <c r="E35" s="205">
        <v>7.2750753336203191</v>
      </c>
      <c r="F35" s="412">
        <v>2.8842014636246232</v>
      </c>
      <c r="G35" s="415">
        <v>0</v>
      </c>
      <c r="H35" s="103">
        <v>28.325441239776151</v>
      </c>
      <c r="I35" s="103">
        <v>14.377959535083942</v>
      </c>
      <c r="J35" s="163"/>
      <c r="K35" s="205"/>
      <c r="L35" s="160"/>
      <c r="M35" s="160"/>
    </row>
    <row r="36" spans="1:13" s="76" customFormat="1" x14ac:dyDescent="0.25">
      <c r="A36" s="216"/>
      <c r="B36" s="210"/>
      <c r="C36" s="457"/>
      <c r="D36" s="457"/>
      <c r="E36" s="457"/>
      <c r="F36" s="457"/>
      <c r="G36" s="206"/>
      <c r="H36" s="90"/>
      <c r="I36" s="90"/>
      <c r="J36" s="160"/>
      <c r="K36" s="160"/>
      <c r="L36" s="160"/>
      <c r="M36" s="160"/>
    </row>
    <row r="37" spans="1:13" x14ac:dyDescent="0.25">
      <c r="A37" s="212" t="s">
        <v>66</v>
      </c>
      <c r="B37" s="211" t="s">
        <v>66</v>
      </c>
      <c r="C37" s="110">
        <v>3.7911093370203304</v>
      </c>
      <c r="D37" s="110">
        <v>42.29451305583472</v>
      </c>
      <c r="E37" s="110">
        <v>4.5999999999999996</v>
      </c>
      <c r="F37" s="110">
        <v>8.3000000000000007</v>
      </c>
      <c r="G37" s="172">
        <v>5.4</v>
      </c>
      <c r="H37" s="110">
        <v>12.636537489372845</v>
      </c>
      <c r="I37" s="110">
        <v>22.988733027684116</v>
      </c>
      <c r="K37" s="205"/>
    </row>
    <row r="38" spans="1:13" x14ac:dyDescent="0.25">
      <c r="A38" s="153"/>
      <c r="B38" s="154"/>
      <c r="E38" s="16"/>
      <c r="F38" s="16"/>
      <c r="G38" s="16"/>
      <c r="H38" s="16"/>
      <c r="J38" s="16"/>
      <c r="K38" s="160"/>
      <c r="L38" s="16"/>
      <c r="M38" s="16"/>
    </row>
    <row r="39" spans="1:13" x14ac:dyDescent="0.25">
      <c r="A39" s="153"/>
      <c r="B39" s="154"/>
      <c r="E39" s="16"/>
      <c r="F39" s="16"/>
      <c r="G39" s="16"/>
      <c r="H39" s="16"/>
      <c r="J39" s="16"/>
      <c r="K39" s="16"/>
      <c r="L39" s="16"/>
      <c r="M39" s="16"/>
    </row>
    <row r="40" spans="1:13" x14ac:dyDescent="0.25">
      <c r="A40" s="217" t="s">
        <v>1644</v>
      </c>
      <c r="B40" s="154"/>
      <c r="E40" s="16"/>
      <c r="F40" s="16"/>
      <c r="G40" s="16"/>
      <c r="H40" s="16"/>
      <c r="J40" s="16"/>
      <c r="K40" s="16"/>
      <c r="L40" s="16"/>
      <c r="M40" s="16"/>
    </row>
    <row r="41" spans="1:13" x14ac:dyDescent="0.25">
      <c r="A41" s="218" t="s">
        <v>572</v>
      </c>
      <c r="B41" s="154"/>
    </row>
    <row r="42" spans="1:13" x14ac:dyDescent="0.25">
      <c r="A42" s="153"/>
      <c r="B42" s="212"/>
      <c r="E42" s="16"/>
      <c r="F42" s="16"/>
      <c r="G42" s="16"/>
      <c r="H42" s="16"/>
      <c r="J42" s="16"/>
      <c r="K42" s="16"/>
      <c r="L42" s="16"/>
      <c r="M42" s="16"/>
    </row>
    <row r="43" spans="1:13" x14ac:dyDescent="0.25">
      <c r="A43" s="153"/>
      <c r="B43" s="154"/>
      <c r="E43" s="16"/>
      <c r="F43" s="16"/>
      <c r="G43" s="16"/>
      <c r="H43" s="16"/>
      <c r="J43" s="16"/>
      <c r="K43" s="16"/>
      <c r="L43" s="16"/>
      <c r="M43" s="16"/>
    </row>
    <row r="46" spans="1:13" x14ac:dyDescent="0.25">
      <c r="A46" s="212"/>
    </row>
  </sheetData>
  <mergeCells count="5">
    <mergeCell ref="C36:F36"/>
    <mergeCell ref="C16:G16"/>
    <mergeCell ref="H16:I16"/>
    <mergeCell ref="C17:G17"/>
    <mergeCell ref="H17:I17"/>
  </mergeCells>
  <hyperlinks>
    <hyperlink ref="A5" location="Índice!A1" display="Índice/Contents" xr:uid="{67505D90-172E-42A1-89B0-3323BB20F9E1}"/>
  </hyperlinks>
  <pageMargins left="0.7" right="0.7" top="0.75" bottom="0.75" header="0.3" footer="0.3"/>
  <pageSetup paperSize="9"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2EC0-BAF8-4EA5-BDEB-1D7776ECEC5C}">
  <sheetPr codeName="Sheet28">
    <tabColor theme="4"/>
  </sheetPr>
  <dimension ref="A5:CC33"/>
  <sheetViews>
    <sheetView showGridLines="0" showRowColHeaders="0" workbookViewId="0">
      <selection activeCell="A28" sqref="A28"/>
    </sheetView>
  </sheetViews>
  <sheetFormatPr defaultRowHeight="15" x14ac:dyDescent="0.25"/>
  <cols>
    <col min="1" max="1" width="61.140625" customWidth="1"/>
    <col min="2" max="2" width="40.42578125" customWidth="1"/>
    <col min="3" max="6" width="24.5703125" bestFit="1" customWidth="1"/>
  </cols>
  <sheetData>
    <row r="5" spans="1:64" ht="36" customHeight="1" x14ac:dyDescent="0.25">
      <c r="A5" s="10" t="s">
        <v>3</v>
      </c>
    </row>
    <row r="6" spans="1:64" ht="18.75" x14ac:dyDescent="0.25">
      <c r="A6" s="6" t="s">
        <v>179</v>
      </c>
    </row>
    <row r="7" spans="1:64" x14ac:dyDescent="0.25">
      <c r="A7" s="78" t="str">
        <f>+Índice!A95</f>
        <v>Parte II. Tema em Destaque: Caraterização dos trabalhadores estrangeiros por conta de outrem em Portugal / Part II Special Issue: Characterization of foreign employees in Portugal</v>
      </c>
    </row>
    <row r="8" spans="1:64" ht="18.75" x14ac:dyDescent="0.25">
      <c r="A8" s="6"/>
    </row>
    <row r="9" spans="1:64" x14ac:dyDescent="0.25">
      <c r="A9" s="7"/>
    </row>
    <row r="10" spans="1:64" x14ac:dyDescent="0.25">
      <c r="A10" t="s">
        <v>189</v>
      </c>
    </row>
    <row r="11" spans="1:64" x14ac:dyDescent="0.25">
      <c r="A11" s="8" t="s">
        <v>565</v>
      </c>
    </row>
    <row r="13" spans="1:64" s="46" customFormat="1" x14ac:dyDescent="0.25">
      <c r="A13" s="321" t="s">
        <v>2</v>
      </c>
      <c r="C13" s="50" t="s">
        <v>1227</v>
      </c>
      <c r="D13" s="50" t="s">
        <v>1227</v>
      </c>
      <c r="E13" s="50" t="s">
        <v>1227</v>
      </c>
      <c r="F13" s="50" t="s">
        <v>1227</v>
      </c>
      <c r="G13" s="17"/>
      <c r="H13" s="17"/>
      <c r="I13" s="17"/>
      <c r="J13" s="17"/>
    </row>
    <row r="14" spans="1:64" s="46" customFormat="1" x14ac:dyDescent="0.25">
      <c r="A14" s="321"/>
      <c r="C14" s="50"/>
      <c r="D14" s="50"/>
      <c r="E14" s="50"/>
      <c r="F14" s="50"/>
      <c r="G14" s="17"/>
      <c r="H14" s="17"/>
      <c r="I14" s="17"/>
      <c r="J14" s="17"/>
    </row>
    <row r="15" spans="1:64" s="46" customFormat="1" ht="15" customHeight="1" x14ac:dyDescent="0.25">
      <c r="A15" s="11"/>
      <c r="B15"/>
      <c r="C15" s="452" t="s">
        <v>569</v>
      </c>
      <c r="D15" s="453"/>
      <c r="E15" s="452" t="s">
        <v>570</v>
      </c>
      <c r="F15" s="453"/>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row>
    <row r="16" spans="1:64" s="46" customFormat="1" ht="15" customHeight="1" x14ac:dyDescent="0.25">
      <c r="A16" s="11"/>
      <c r="B16"/>
      <c r="C16" s="454" t="s">
        <v>566</v>
      </c>
      <c r="D16" s="455"/>
      <c r="E16" s="454" t="s">
        <v>567</v>
      </c>
      <c r="F16" s="455"/>
      <c r="G16" s="18"/>
      <c r="H16" s="18"/>
      <c r="I16" s="18"/>
      <c r="J16" s="18"/>
      <c r="K16" s="150"/>
      <c r="L16" s="150"/>
      <c r="M16" s="150"/>
    </row>
    <row r="17" spans="1:81" s="46" customFormat="1" x14ac:dyDescent="0.25">
      <c r="A17" s="11"/>
      <c r="B17" s="35"/>
      <c r="C17" s="130" t="s">
        <v>200</v>
      </c>
      <c r="D17" s="176" t="s">
        <v>201</v>
      </c>
      <c r="E17" s="130" t="s">
        <v>200</v>
      </c>
      <c r="F17" s="176" t="s">
        <v>201</v>
      </c>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row>
    <row r="18" spans="1:81" s="46" customFormat="1" x14ac:dyDescent="0.25">
      <c r="A18" s="11"/>
      <c r="B18"/>
      <c r="C18" s="174" t="s">
        <v>198</v>
      </c>
      <c r="D18" s="175" t="s">
        <v>239</v>
      </c>
      <c r="E18" s="174" t="s">
        <v>198</v>
      </c>
      <c r="F18" s="175" t="s">
        <v>239</v>
      </c>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151"/>
      <c r="BO18" s="151"/>
      <c r="BP18" s="151"/>
      <c r="BQ18" s="151"/>
      <c r="BR18" s="151"/>
      <c r="BS18" s="151"/>
      <c r="BT18" s="151"/>
      <c r="BU18" s="151"/>
      <c r="BV18" s="151"/>
      <c r="BW18" s="151"/>
      <c r="BX18" s="151"/>
      <c r="BY18" s="151"/>
      <c r="BZ18" s="151"/>
      <c r="CA18" s="151"/>
      <c r="CB18" s="151"/>
      <c r="CC18" s="151"/>
    </row>
    <row r="19" spans="1:81" s="46" customFormat="1" x14ac:dyDescent="0.25">
      <c r="A19" s="74" t="s">
        <v>234</v>
      </c>
      <c r="B19" s="122" t="s">
        <v>228</v>
      </c>
      <c r="C19" s="125">
        <v>760</v>
      </c>
      <c r="D19" s="126">
        <v>741.91436356286295</v>
      </c>
      <c r="E19" s="125">
        <v>760</v>
      </c>
      <c r="F19" s="126">
        <v>754.3243596411445</v>
      </c>
      <c r="G19" s="19"/>
      <c r="H19" s="19"/>
      <c r="I19" s="19"/>
      <c r="J19" s="19"/>
      <c r="K19" s="152"/>
      <c r="L19" s="152"/>
      <c r="M19" s="152"/>
    </row>
    <row r="20" spans="1:81" s="46" customFormat="1" x14ac:dyDescent="0.25">
      <c r="A20" s="74" t="s">
        <v>235</v>
      </c>
      <c r="B20" s="122" t="s">
        <v>229</v>
      </c>
      <c r="C20" s="125">
        <v>773.98167261788797</v>
      </c>
      <c r="D20" s="126">
        <v>760</v>
      </c>
      <c r="E20" s="125">
        <v>781.15287356321835</v>
      </c>
      <c r="F20" s="126">
        <v>760</v>
      </c>
      <c r="G20" s="19"/>
      <c r="H20" s="19"/>
      <c r="I20" s="19"/>
      <c r="J20" s="19"/>
      <c r="K20" s="152"/>
      <c r="L20" s="152"/>
      <c r="M20" s="152"/>
    </row>
    <row r="21" spans="1:81" s="46" customFormat="1" x14ac:dyDescent="0.25">
      <c r="A21" s="74" t="s">
        <v>236</v>
      </c>
      <c r="B21" s="122" t="s">
        <v>230</v>
      </c>
      <c r="C21" s="125">
        <v>902.33916666666664</v>
      </c>
      <c r="D21" s="126">
        <v>768.75358193277305</v>
      </c>
      <c r="E21" s="125">
        <v>944.73330675172792</v>
      </c>
      <c r="F21" s="126">
        <v>781.09945378151258</v>
      </c>
      <c r="G21" s="19"/>
      <c r="H21" s="19"/>
      <c r="I21" s="19"/>
      <c r="J21" s="19"/>
    </row>
    <row r="22" spans="1:81" s="46" customFormat="1" x14ac:dyDescent="0.25">
      <c r="A22" s="74" t="s">
        <v>237</v>
      </c>
      <c r="B22" s="122" t="s">
        <v>231</v>
      </c>
      <c r="C22" s="125">
        <v>1258.066304347826</v>
      </c>
      <c r="D22" s="126">
        <v>877.97326216862223</v>
      </c>
      <c r="E22" s="125">
        <v>1458.1079166666668</v>
      </c>
      <c r="F22" s="126">
        <v>935.10887223071052</v>
      </c>
      <c r="G22" s="19"/>
      <c r="H22" s="19"/>
      <c r="I22" s="19"/>
      <c r="J22" s="19"/>
      <c r="K22" s="152"/>
      <c r="L22" s="152"/>
      <c r="M22" s="152"/>
    </row>
    <row r="23" spans="1:81" s="46" customFormat="1" x14ac:dyDescent="0.25">
      <c r="A23" s="89" t="s">
        <v>238</v>
      </c>
      <c r="B23" s="122" t="s">
        <v>232</v>
      </c>
      <c r="C23" s="125">
        <v>1753.1608413461536</v>
      </c>
      <c r="D23" s="126">
        <v>1174.8202953384421</v>
      </c>
      <c r="E23" s="125">
        <v>2299.1403735632184</v>
      </c>
      <c r="F23" s="126">
        <v>1400.6452139639641</v>
      </c>
      <c r="G23" s="152"/>
      <c r="H23" s="152"/>
      <c r="J23" s="152"/>
      <c r="K23" s="152"/>
      <c r="L23" s="152"/>
      <c r="M23" s="152"/>
    </row>
    <row r="24" spans="1:81" s="46" customFormat="1" x14ac:dyDescent="0.25">
      <c r="A24" s="153"/>
      <c r="B24" s="154"/>
    </row>
    <row r="25" spans="1:81" x14ac:dyDescent="0.25">
      <c r="A25" s="11"/>
      <c r="B25" s="12"/>
      <c r="E25" s="16"/>
      <c r="F25" s="16"/>
      <c r="G25" s="16"/>
      <c r="H25" s="16"/>
      <c r="J25" s="16"/>
      <c r="K25" s="16"/>
      <c r="L25" s="16"/>
      <c r="M25" s="16"/>
    </row>
    <row r="26" spans="1:81" x14ac:dyDescent="0.25">
      <c r="A26" s="28" t="s">
        <v>1645</v>
      </c>
      <c r="B26" s="12"/>
      <c r="E26" s="16"/>
      <c r="F26" s="16"/>
      <c r="G26" s="16"/>
      <c r="H26" s="16"/>
      <c r="J26" s="16"/>
      <c r="K26" s="16"/>
      <c r="L26" s="16"/>
      <c r="M26" s="16"/>
    </row>
    <row r="27" spans="1:81" x14ac:dyDescent="0.25">
      <c r="A27" s="29" t="s">
        <v>1646</v>
      </c>
      <c r="B27" s="12"/>
      <c r="E27" s="16"/>
      <c r="F27" s="16"/>
      <c r="G27" s="16"/>
      <c r="H27" s="16"/>
      <c r="J27" s="16"/>
      <c r="K27" s="16"/>
      <c r="L27" s="16"/>
      <c r="M27" s="16"/>
    </row>
    <row r="28" spans="1:81" x14ac:dyDescent="0.25">
      <c r="A28" s="11"/>
      <c r="B28" s="12"/>
    </row>
    <row r="29" spans="1:81" x14ac:dyDescent="0.25">
      <c r="A29" s="11"/>
      <c r="B29" s="8"/>
      <c r="E29" s="16"/>
      <c r="F29" s="16"/>
      <c r="G29" s="16"/>
      <c r="H29" s="16"/>
      <c r="J29" s="16"/>
      <c r="K29" s="16"/>
      <c r="L29" s="16"/>
      <c r="M29" s="16"/>
    </row>
    <row r="30" spans="1:81" x14ac:dyDescent="0.25">
      <c r="A30" s="11"/>
      <c r="B30" s="12"/>
      <c r="E30" s="16"/>
      <c r="F30" s="16"/>
      <c r="G30" s="16"/>
      <c r="H30" s="16"/>
      <c r="J30" s="16"/>
      <c r="K30" s="16"/>
      <c r="L30" s="16"/>
      <c r="M30" s="16"/>
    </row>
    <row r="33" spans="1:1" x14ac:dyDescent="0.25">
      <c r="A33" s="8"/>
    </row>
  </sheetData>
  <mergeCells count="4">
    <mergeCell ref="C15:D15"/>
    <mergeCell ref="C16:D16"/>
    <mergeCell ref="E15:F15"/>
    <mergeCell ref="E16:F16"/>
  </mergeCells>
  <hyperlinks>
    <hyperlink ref="A5" location="Índice!A1" display="Índice/Contents" xr:uid="{DCA4BE9D-D62F-46B0-AAC8-4449197F1E92}"/>
  </hyperlinks>
  <pageMargins left="0.7" right="0.7" top="0.75" bottom="0.75" header="0.3" footer="0.3"/>
  <pageSetup paperSize="9" orientation="portrait" horizontalDpi="1200" verticalDpi="1200"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5EC1-0B36-4070-ADB9-D44A49B27F59}">
  <sheetPr codeName="Sheet29">
    <tabColor theme="4"/>
  </sheetPr>
  <dimension ref="A5:CB38"/>
  <sheetViews>
    <sheetView showGridLines="0" showRowColHeaders="0" zoomScale="80" zoomScaleNormal="80" workbookViewId="0">
      <selection activeCell="A38" sqref="A38"/>
    </sheetView>
  </sheetViews>
  <sheetFormatPr defaultRowHeight="15" x14ac:dyDescent="0.25"/>
  <cols>
    <col min="1" max="1" width="61.140625" customWidth="1"/>
    <col min="2" max="2" width="40.42578125" customWidth="1"/>
    <col min="3" max="3" width="51.42578125" bestFit="1" customWidth="1"/>
    <col min="4" max="4" width="51" bestFit="1" customWidth="1"/>
    <col min="5" max="5" width="53.42578125" bestFit="1" customWidth="1"/>
    <col min="6" max="6" width="53.5703125" bestFit="1" customWidth="1"/>
    <col min="7" max="7" width="51.42578125" bestFit="1" customWidth="1"/>
    <col min="8" max="8" width="51" bestFit="1" customWidth="1"/>
    <col min="9" max="9" width="53.42578125" bestFit="1" customWidth="1"/>
    <col min="10" max="10" width="53.5703125" bestFit="1" customWidth="1"/>
  </cols>
  <sheetData>
    <row r="5" spans="1:11" ht="36" customHeight="1" x14ac:dyDescent="0.25">
      <c r="A5" s="10" t="s">
        <v>3</v>
      </c>
    </row>
    <row r="6" spans="1:11" ht="18.75" x14ac:dyDescent="0.25">
      <c r="A6" s="6" t="s">
        <v>179</v>
      </c>
    </row>
    <row r="7" spans="1:11" x14ac:dyDescent="0.25">
      <c r="A7" s="78" t="str">
        <f>+Índice!A95</f>
        <v>Parte II. Tema em Destaque: Caraterização dos trabalhadores estrangeiros por conta de outrem em Portugal / Part II Special Issue: Characterization of foreign employees in Portugal</v>
      </c>
    </row>
    <row r="8" spans="1:11" ht="18.75" x14ac:dyDescent="0.25">
      <c r="A8" s="6"/>
    </row>
    <row r="9" spans="1:11" x14ac:dyDescent="0.25">
      <c r="A9" s="7"/>
    </row>
    <row r="10" spans="1:11" x14ac:dyDescent="0.25">
      <c r="A10" t="s">
        <v>190</v>
      </c>
    </row>
    <row r="11" spans="1:11" x14ac:dyDescent="0.25">
      <c r="A11" s="8" t="s">
        <v>568</v>
      </c>
    </row>
    <row r="12" spans="1:11" x14ac:dyDescent="0.25">
      <c r="A12" s="8"/>
    </row>
    <row r="13" spans="1:11" x14ac:dyDescent="0.25">
      <c r="A13" s="321" t="s">
        <v>2</v>
      </c>
      <c r="C13" s="50" t="s">
        <v>1227</v>
      </c>
      <c r="D13" s="50" t="s">
        <v>1227</v>
      </c>
      <c r="E13" s="50" t="s">
        <v>1227</v>
      </c>
      <c r="F13" s="50" t="s">
        <v>1227</v>
      </c>
      <c r="G13" s="50" t="s">
        <v>1227</v>
      </c>
      <c r="H13" s="50" t="s">
        <v>1227</v>
      </c>
      <c r="I13" s="50" t="s">
        <v>1227</v>
      </c>
      <c r="J13" s="50" t="s">
        <v>1227</v>
      </c>
    </row>
    <row r="14" spans="1:11" x14ac:dyDescent="0.25">
      <c r="B14" s="76"/>
      <c r="C14" s="463" t="s">
        <v>569</v>
      </c>
      <c r="D14" s="463"/>
      <c r="E14" s="463"/>
      <c r="F14" s="464"/>
      <c r="G14" s="463" t="s">
        <v>570</v>
      </c>
      <c r="H14" s="463"/>
      <c r="I14" s="463"/>
      <c r="J14" s="463"/>
      <c r="K14" s="76"/>
    </row>
    <row r="15" spans="1:11" s="46" customFormat="1" x14ac:dyDescent="0.25">
      <c r="A15" s="48"/>
      <c r="B15" s="183"/>
      <c r="C15" s="461" t="s">
        <v>566</v>
      </c>
      <c r="D15" s="461"/>
      <c r="E15" s="461"/>
      <c r="F15" s="462"/>
      <c r="G15" s="461" t="s">
        <v>567</v>
      </c>
      <c r="H15" s="461"/>
      <c r="I15" s="461"/>
      <c r="J15" s="461"/>
      <c r="K15" s="183"/>
    </row>
    <row r="16" spans="1:11" s="46" customFormat="1" x14ac:dyDescent="0.25">
      <c r="A16" s="48"/>
      <c r="B16" s="183"/>
      <c r="C16" s="192" t="s">
        <v>577</v>
      </c>
      <c r="D16" s="192" t="s">
        <v>579</v>
      </c>
      <c r="E16" s="192" t="s">
        <v>578</v>
      </c>
      <c r="F16" s="193" t="s">
        <v>580</v>
      </c>
      <c r="G16" s="192" t="s">
        <v>577</v>
      </c>
      <c r="H16" s="192" t="s">
        <v>579</v>
      </c>
      <c r="I16" s="192" t="s">
        <v>578</v>
      </c>
      <c r="J16" s="192" t="s">
        <v>580</v>
      </c>
      <c r="K16" s="183"/>
    </row>
    <row r="17" spans="1:80" s="46" customFormat="1" ht="15" customHeight="1" x14ac:dyDescent="0.25">
      <c r="B17" s="182"/>
      <c r="C17" s="180" t="s">
        <v>573</v>
      </c>
      <c r="D17" s="180" t="s">
        <v>575</v>
      </c>
      <c r="E17" s="180" t="s">
        <v>574</v>
      </c>
      <c r="F17" s="181" t="s">
        <v>576</v>
      </c>
      <c r="G17" s="180" t="s">
        <v>573</v>
      </c>
      <c r="H17" s="180" t="s">
        <v>575</v>
      </c>
      <c r="I17" s="180" t="s">
        <v>574</v>
      </c>
      <c r="J17" s="180" t="s">
        <v>576</v>
      </c>
      <c r="K17" s="184"/>
      <c r="L17" s="149"/>
      <c r="M17" s="149"/>
      <c r="N17" s="149"/>
      <c r="O17" s="149"/>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row>
    <row r="18" spans="1:80" s="46" customFormat="1" ht="15" customHeight="1" x14ac:dyDescent="0.25">
      <c r="A18" s="24" t="s">
        <v>542</v>
      </c>
      <c r="B18" s="194" t="s">
        <v>526</v>
      </c>
      <c r="C18" s="186">
        <v>955.1764503500309</v>
      </c>
      <c r="D18" s="186">
        <v>848.32468123207525</v>
      </c>
      <c r="E18" s="186">
        <v>837.92647312373219</v>
      </c>
      <c r="F18" s="187">
        <v>770.44665118969169</v>
      </c>
      <c r="G18" s="188">
        <v>1070.2051094133274</v>
      </c>
      <c r="H18" s="188">
        <v>893.32709779175514</v>
      </c>
      <c r="I18" s="188">
        <v>861.14214285714263</v>
      </c>
      <c r="J18" s="189">
        <v>775.51040984454687</v>
      </c>
      <c r="K18" s="185"/>
      <c r="L18" s="150"/>
    </row>
    <row r="19" spans="1:80" s="46" customFormat="1" x14ac:dyDescent="0.25">
      <c r="A19" s="195" t="s">
        <v>543</v>
      </c>
      <c r="B19" s="194" t="s">
        <v>527</v>
      </c>
      <c r="C19" s="186">
        <v>892.70794688742717</v>
      </c>
      <c r="D19" s="186">
        <v>817.78202523892014</v>
      </c>
      <c r="E19" s="186">
        <v>802.63554761904754</v>
      </c>
      <c r="F19" s="187">
        <v>760.25859905402842</v>
      </c>
      <c r="G19" s="190">
        <v>996.456517317872</v>
      </c>
      <c r="H19" s="190">
        <v>865.75101762772522</v>
      </c>
      <c r="I19" s="190">
        <v>811.05177094750934</v>
      </c>
      <c r="J19" s="190">
        <v>763.33304597701147</v>
      </c>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row>
    <row r="20" spans="1:80" s="46" customFormat="1" x14ac:dyDescent="0.25">
      <c r="A20" s="196" t="s">
        <v>544</v>
      </c>
      <c r="B20" s="194" t="s">
        <v>528</v>
      </c>
      <c r="C20" s="186">
        <v>964.34697274500184</v>
      </c>
      <c r="D20" s="186">
        <v>826.33267567428823</v>
      </c>
      <c r="E20" s="186">
        <v>812.01473214285716</v>
      </c>
      <c r="F20" s="187">
        <v>772.89349912478576</v>
      </c>
      <c r="G20" s="190">
        <v>1100.0541445642668</v>
      </c>
      <c r="H20" s="190">
        <v>863.49382065568943</v>
      </c>
      <c r="I20" s="190">
        <v>853.05246249756476</v>
      </c>
      <c r="J20" s="190">
        <v>779.55075691249522</v>
      </c>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151"/>
      <c r="BN20" s="151"/>
      <c r="BO20" s="151"/>
      <c r="BP20" s="151"/>
      <c r="BQ20" s="151"/>
      <c r="BR20" s="151"/>
      <c r="BS20" s="151"/>
      <c r="BT20" s="151"/>
      <c r="BU20" s="151"/>
      <c r="BV20" s="151"/>
      <c r="BW20" s="151"/>
      <c r="BX20" s="151"/>
      <c r="BY20" s="151"/>
      <c r="BZ20" s="151"/>
      <c r="CA20" s="151"/>
      <c r="CB20" s="151"/>
    </row>
    <row r="21" spans="1:80" s="46" customFormat="1" x14ac:dyDescent="0.25">
      <c r="A21" s="197" t="s">
        <v>545</v>
      </c>
      <c r="B21" s="194" t="s">
        <v>529</v>
      </c>
      <c r="C21" s="186">
        <v>986.92174841025087</v>
      </c>
      <c r="D21" s="186">
        <v>875.91054930001019</v>
      </c>
      <c r="E21" s="186">
        <v>849.78249999999991</v>
      </c>
      <c r="F21" s="187">
        <v>761.90901364798992</v>
      </c>
      <c r="G21" s="190">
        <v>1252.8880255376714</v>
      </c>
      <c r="H21" s="190">
        <v>1038.1111165760792</v>
      </c>
      <c r="I21" s="190">
        <v>938.76446078431366</v>
      </c>
      <c r="J21" s="191">
        <v>772.82339096694579</v>
      </c>
      <c r="K21" s="152"/>
      <c r="L21" s="152"/>
    </row>
    <row r="22" spans="1:80" s="46" customFormat="1" x14ac:dyDescent="0.25">
      <c r="A22" s="197" t="s">
        <v>546</v>
      </c>
      <c r="B22" s="194" t="s">
        <v>530</v>
      </c>
      <c r="C22" s="186">
        <v>1048.6953820426415</v>
      </c>
      <c r="D22" s="186">
        <v>890.39623827424327</v>
      </c>
      <c r="E22" s="186">
        <v>875.98916666666662</v>
      </c>
      <c r="F22" s="187">
        <v>787.89905027530324</v>
      </c>
      <c r="G22" s="190">
        <v>1227.3628799815663</v>
      </c>
      <c r="H22" s="190">
        <v>1048.0864020859274</v>
      </c>
      <c r="I22" s="190">
        <v>911.86489135158627</v>
      </c>
      <c r="J22" s="191">
        <v>802.49475633528255</v>
      </c>
      <c r="K22" s="152"/>
      <c r="L22" s="152"/>
    </row>
    <row r="23" spans="1:80" s="46" customFormat="1" x14ac:dyDescent="0.25">
      <c r="A23" s="20" t="s">
        <v>547</v>
      </c>
      <c r="B23" s="194" t="s">
        <v>531</v>
      </c>
      <c r="C23" s="186">
        <v>979.99386474217215</v>
      </c>
      <c r="D23" s="186">
        <v>777.05543257617001</v>
      </c>
      <c r="E23" s="186">
        <v>819.84786214971825</v>
      </c>
      <c r="F23" s="187">
        <v>760</v>
      </c>
      <c r="G23" s="190">
        <v>1030.0190134007196</v>
      </c>
      <c r="H23" s="190">
        <v>805.06654385800118</v>
      </c>
      <c r="I23" s="190">
        <v>801.45515536723167</v>
      </c>
      <c r="J23" s="191">
        <v>760.00163240495147</v>
      </c>
    </row>
    <row r="24" spans="1:80" s="46" customFormat="1" x14ac:dyDescent="0.25">
      <c r="A24" s="198" t="s">
        <v>548</v>
      </c>
      <c r="B24" s="194" t="s">
        <v>532</v>
      </c>
      <c r="C24" s="186">
        <v>1748.7116091492264</v>
      </c>
      <c r="D24" s="186">
        <v>2067.9206170473158</v>
      </c>
      <c r="E24" s="186">
        <v>1484.9716666666666</v>
      </c>
      <c r="F24" s="187">
        <v>1592.6743871832357</v>
      </c>
      <c r="G24" s="190">
        <v>2368.7048267494788</v>
      </c>
      <c r="H24" s="190">
        <v>2626.4770585701685</v>
      </c>
      <c r="I24" s="190">
        <v>1981.1929166666666</v>
      </c>
      <c r="J24" s="191">
        <v>1927.6075925925925</v>
      </c>
      <c r="K24" s="152"/>
      <c r="L24" s="152"/>
    </row>
    <row r="25" spans="1:80" s="46" customFormat="1" x14ac:dyDescent="0.25">
      <c r="A25" s="197" t="s">
        <v>549</v>
      </c>
      <c r="B25" s="194" t="s">
        <v>533</v>
      </c>
      <c r="C25" s="186">
        <v>1365.1210471558713</v>
      </c>
      <c r="D25" s="186">
        <v>1401.4867722264817</v>
      </c>
      <c r="E25" s="186">
        <v>1110.4972916666668</v>
      </c>
      <c r="F25" s="187">
        <v>1000.2242959770115</v>
      </c>
      <c r="G25" s="191">
        <v>1716.3627845308026</v>
      </c>
      <c r="H25" s="191">
        <v>1900.0099648663092</v>
      </c>
      <c r="I25" s="191">
        <v>1210.4708333333335</v>
      </c>
      <c r="J25" s="191">
        <v>1014.5391861654643</v>
      </c>
      <c r="K25" s="152"/>
      <c r="L25" s="152"/>
    </row>
    <row r="26" spans="1:80" s="46" customFormat="1" x14ac:dyDescent="0.25">
      <c r="A26" s="197" t="s">
        <v>550</v>
      </c>
      <c r="B26" s="194" t="s">
        <v>534</v>
      </c>
      <c r="C26" s="186">
        <v>1217.5989816184353</v>
      </c>
      <c r="D26" s="186">
        <v>985.29671372294604</v>
      </c>
      <c r="E26" s="186">
        <v>1009.8716203703704</v>
      </c>
      <c r="F26" s="187">
        <v>778.80235837438431</v>
      </c>
      <c r="G26" s="191">
        <v>1606.43373005986</v>
      </c>
      <c r="H26" s="191">
        <v>1253.9839668859292</v>
      </c>
      <c r="I26" s="191">
        <v>1310.8888697318009</v>
      </c>
      <c r="J26" s="191">
        <v>1018.2793966306681</v>
      </c>
    </row>
    <row r="27" spans="1:80" x14ac:dyDescent="0.25">
      <c r="A27" s="197" t="s">
        <v>551</v>
      </c>
      <c r="B27" s="194" t="s">
        <v>535</v>
      </c>
      <c r="C27" s="186">
        <v>990.01791580141116</v>
      </c>
      <c r="D27" s="186">
        <v>838.03105689864469</v>
      </c>
      <c r="E27" s="186">
        <v>844.7173219373218</v>
      </c>
      <c r="F27" s="187">
        <v>760</v>
      </c>
      <c r="G27" s="100">
        <v>1203.8010364759666</v>
      </c>
      <c r="H27" s="100">
        <v>939.22591403335935</v>
      </c>
      <c r="I27" s="100">
        <v>888.85193889897164</v>
      </c>
      <c r="J27" s="100">
        <v>760.00108292007837</v>
      </c>
      <c r="K27" s="16"/>
      <c r="L27" s="16"/>
    </row>
    <row r="28" spans="1:80" x14ac:dyDescent="0.25">
      <c r="A28" s="196" t="s">
        <v>552</v>
      </c>
      <c r="B28" s="194" t="s">
        <v>536</v>
      </c>
      <c r="C28" s="186">
        <v>1086.3543872738612</v>
      </c>
      <c r="D28" s="186">
        <v>938.56093308230675</v>
      </c>
      <c r="E28" s="186">
        <v>869.40208333333339</v>
      </c>
      <c r="F28" s="187">
        <v>778.12772874579116</v>
      </c>
      <c r="G28" s="100">
        <v>1205.6859205548794</v>
      </c>
      <c r="H28" s="100">
        <v>1049.4872181376979</v>
      </c>
      <c r="I28" s="100">
        <v>845.00595238095229</v>
      </c>
      <c r="J28" s="100">
        <v>775.65539785839348</v>
      </c>
      <c r="K28" s="16"/>
      <c r="L28" s="16"/>
    </row>
    <row r="29" spans="1:80" x14ac:dyDescent="0.25">
      <c r="A29" s="20" t="s">
        <v>902</v>
      </c>
      <c r="B29" s="194" t="s">
        <v>901</v>
      </c>
      <c r="C29" s="186">
        <v>1092.7987469495972</v>
      </c>
      <c r="D29" s="186">
        <v>1334.1369884359563</v>
      </c>
      <c r="E29" s="186">
        <v>860.4929166666667</v>
      </c>
      <c r="F29" s="187">
        <v>789.25510493733327</v>
      </c>
      <c r="G29" s="100">
        <v>1423.5150846701074</v>
      </c>
      <c r="H29" s="100">
        <v>1691.2545681506583</v>
      </c>
      <c r="I29" s="100">
        <v>1000.1627272727274</v>
      </c>
      <c r="J29" s="100">
        <v>838.21690638808866</v>
      </c>
      <c r="K29" s="16"/>
      <c r="L29" s="16"/>
    </row>
    <row r="30" spans="1:80" x14ac:dyDescent="0.25">
      <c r="A30" s="197" t="s">
        <v>554</v>
      </c>
      <c r="B30" s="194" t="s">
        <v>538</v>
      </c>
      <c r="C30" s="186">
        <v>1601.7500979618073</v>
      </c>
      <c r="D30" s="186">
        <v>1674.2513200159392</v>
      </c>
      <c r="E30" s="186">
        <v>1391.0662898380353</v>
      </c>
      <c r="F30" s="187">
        <v>1354.1576785714287</v>
      </c>
      <c r="G30" s="100">
        <v>2495.8296783267829</v>
      </c>
      <c r="H30" s="100">
        <v>3310.6081632884184</v>
      </c>
      <c r="I30" s="100">
        <v>2114.4437499999999</v>
      </c>
      <c r="J30" s="100">
        <v>1921.1138550724634</v>
      </c>
    </row>
    <row r="31" spans="1:80" x14ac:dyDescent="0.25">
      <c r="A31" s="197" t="s">
        <v>555</v>
      </c>
      <c r="B31" s="194" t="s">
        <v>539</v>
      </c>
      <c r="C31" s="186">
        <v>985.66832055425095</v>
      </c>
      <c r="D31" s="186">
        <v>868.54443692994516</v>
      </c>
      <c r="E31" s="186">
        <v>883.10107999571653</v>
      </c>
      <c r="F31" s="187">
        <v>791.76517003927995</v>
      </c>
      <c r="G31" s="100">
        <v>1206.5662656157303</v>
      </c>
      <c r="H31" s="100">
        <v>894.34705918072723</v>
      </c>
      <c r="I31" s="100">
        <v>958.98625000000004</v>
      </c>
      <c r="J31" s="100">
        <v>803.88589715608475</v>
      </c>
      <c r="K31" s="16"/>
      <c r="L31" s="16"/>
    </row>
    <row r="32" spans="1:80" x14ac:dyDescent="0.25">
      <c r="A32" s="197" t="s">
        <v>556</v>
      </c>
      <c r="B32" s="194" t="s">
        <v>540</v>
      </c>
      <c r="C32" s="186">
        <v>1456.2634146787505</v>
      </c>
      <c r="D32" s="186">
        <v>1041.1404431552405</v>
      </c>
      <c r="E32" s="186">
        <v>1138.1389121510674</v>
      </c>
      <c r="F32" s="187">
        <v>801.26501128899838</v>
      </c>
      <c r="G32" s="100">
        <v>1560.7611091664467</v>
      </c>
      <c r="H32" s="100">
        <v>1579.8745903455172</v>
      </c>
      <c r="I32" s="100">
        <v>1124.7549044227887</v>
      </c>
      <c r="J32" s="100">
        <v>857.9241713030641</v>
      </c>
      <c r="K32" s="16"/>
      <c r="L32" s="16"/>
    </row>
    <row r="33" spans="1:10" x14ac:dyDescent="0.25">
      <c r="A33" s="20" t="s">
        <v>557</v>
      </c>
      <c r="B33" s="194" t="s">
        <v>541</v>
      </c>
      <c r="C33" s="186">
        <v>1825.8038636312042</v>
      </c>
      <c r="D33" s="186">
        <v>1879.2048849643368</v>
      </c>
      <c r="E33" s="186">
        <v>1577.7141228070175</v>
      </c>
      <c r="F33" s="187">
        <v>1220.9368969298246</v>
      </c>
      <c r="G33" s="100">
        <v>3041.9265444677499</v>
      </c>
      <c r="H33" s="100">
        <v>3547.802841983294</v>
      </c>
      <c r="I33" s="100">
        <v>2852.240416666667</v>
      </c>
      <c r="J33" s="100">
        <v>1712.5937711952026</v>
      </c>
    </row>
    <row r="34" spans="1:10" x14ac:dyDescent="0.25">
      <c r="B34" s="88"/>
      <c r="C34" s="88"/>
      <c r="D34" s="88"/>
      <c r="E34" s="88"/>
      <c r="F34" s="88"/>
    </row>
    <row r="37" spans="1:10" x14ac:dyDescent="0.25">
      <c r="A37" t="s">
        <v>1650</v>
      </c>
    </row>
    <row r="38" spans="1:10" x14ac:dyDescent="0.25">
      <c r="A38" s="8" t="s">
        <v>571</v>
      </c>
    </row>
  </sheetData>
  <mergeCells count="4">
    <mergeCell ref="C15:F15"/>
    <mergeCell ref="C14:F14"/>
    <mergeCell ref="G14:J14"/>
    <mergeCell ref="G15:J15"/>
  </mergeCells>
  <hyperlinks>
    <hyperlink ref="A5" location="Índice!A1" display="Índice/Contents" xr:uid="{E979FD1F-F00B-4D45-8DCA-330A1B75A400}"/>
  </hyperlinks>
  <pageMargins left="0.7" right="0.7" top="0.75" bottom="0.75" header="0.3" footer="0.3"/>
  <pageSetup paperSize="9" orientation="portrait" horizontalDpi="1200" verticalDpi="1200"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0F41-009E-4044-8DBD-0F8A1EA227F4}">
  <sheetPr codeName="Sheet30">
    <tabColor theme="4" tint="-0.249977111117893"/>
  </sheetPr>
  <dimension ref="A5:CC30"/>
  <sheetViews>
    <sheetView showGridLines="0" showRowColHeaders="0" workbookViewId="0">
      <selection sqref="A1:XFD1048576"/>
    </sheetView>
  </sheetViews>
  <sheetFormatPr defaultRowHeight="15" x14ac:dyDescent="0.25"/>
  <cols>
    <col min="1" max="1" width="61.140625" customWidth="1"/>
    <col min="2" max="2" width="17.5703125" customWidth="1"/>
    <col min="3" max="3" width="18.42578125" customWidth="1"/>
    <col min="4" max="4" width="23.42578125" customWidth="1"/>
    <col min="5" max="9" width="25" customWidth="1"/>
  </cols>
  <sheetData>
    <row r="5" spans="1:81" ht="36" customHeight="1" x14ac:dyDescent="0.25">
      <c r="A5" s="10" t="s">
        <v>3</v>
      </c>
    </row>
    <row r="6" spans="1:81" ht="18.75" x14ac:dyDescent="0.25">
      <c r="A6" s="6" t="s">
        <v>179</v>
      </c>
    </row>
    <row r="7" spans="1:81" x14ac:dyDescent="0.25">
      <c r="A7" s="78" t="str">
        <f>+Índice!A95</f>
        <v>Parte II. Tema em Destaque: Caraterização dos trabalhadores estrangeiros por conta de outrem em Portugal / Part II Special Issue: Characterization of foreign employees in Portugal</v>
      </c>
    </row>
    <row r="8" spans="1:81" ht="18.75" x14ac:dyDescent="0.25">
      <c r="A8" s="6"/>
    </row>
    <row r="9" spans="1:81" x14ac:dyDescent="0.25">
      <c r="A9" s="219"/>
    </row>
    <row r="10" spans="1:81" x14ac:dyDescent="0.25">
      <c r="A10" s="219" t="s">
        <v>583</v>
      </c>
    </row>
    <row r="11" spans="1:81" x14ac:dyDescent="0.25">
      <c r="A11" s="8" t="s">
        <v>599</v>
      </c>
    </row>
    <row r="13" spans="1:81" x14ac:dyDescent="0.25">
      <c r="A13" s="321" t="s">
        <v>2</v>
      </c>
      <c r="C13" s="17" t="s">
        <v>4</v>
      </c>
      <c r="D13" s="17" t="s">
        <v>4</v>
      </c>
      <c r="E13" s="17" t="s">
        <v>4</v>
      </c>
      <c r="F13" s="17"/>
      <c r="G13" s="17"/>
      <c r="H13" s="17"/>
      <c r="I13" s="17"/>
      <c r="J13" s="17"/>
    </row>
    <row r="14" spans="1:81" x14ac:dyDescent="0.25">
      <c r="A14" s="44" t="s">
        <v>600</v>
      </c>
      <c r="B14" s="220" t="s">
        <v>590</v>
      </c>
      <c r="C14" s="221"/>
      <c r="D14" s="222"/>
      <c r="E14" s="222"/>
      <c r="F14" s="30"/>
      <c r="G14" s="30"/>
      <c r="H14" s="30"/>
      <c r="I14" s="30"/>
      <c r="J14" s="30"/>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row>
    <row r="15" spans="1:81" x14ac:dyDescent="0.25">
      <c r="B15" s="223"/>
      <c r="C15" s="228" t="s">
        <v>595</v>
      </c>
      <c r="D15" s="229" t="s">
        <v>594</v>
      </c>
      <c r="E15" s="229" t="s">
        <v>593</v>
      </c>
      <c r="F15" s="27"/>
      <c r="G15" s="27"/>
      <c r="H15" s="27"/>
      <c r="I15" s="27"/>
      <c r="J15" s="27"/>
      <c r="K15" s="16"/>
      <c r="L15" s="16"/>
      <c r="M15" s="16"/>
    </row>
    <row r="16" spans="1:81" x14ac:dyDescent="0.25">
      <c r="A16" s="44" t="s">
        <v>596</v>
      </c>
      <c r="B16" s="223" t="s">
        <v>584</v>
      </c>
      <c r="C16" s="224" t="s">
        <v>585</v>
      </c>
      <c r="D16" s="224" t="s">
        <v>586</v>
      </c>
      <c r="E16" s="224" t="s">
        <v>587</v>
      </c>
      <c r="F16" s="19"/>
      <c r="G16" s="19"/>
      <c r="H16" s="19"/>
      <c r="I16" s="19"/>
      <c r="J16" s="19"/>
    </row>
    <row r="17" spans="1:13" x14ac:dyDescent="0.25">
      <c r="A17" s="44" t="s">
        <v>597</v>
      </c>
      <c r="B17" s="225" t="s">
        <v>588</v>
      </c>
      <c r="C17" s="226">
        <v>55.335565268836362</v>
      </c>
      <c r="D17" s="227">
        <v>21.816171602279837</v>
      </c>
      <c r="E17" s="227">
        <v>22.848263128883804</v>
      </c>
      <c r="F17" s="19"/>
      <c r="G17" s="19"/>
      <c r="H17" s="19"/>
      <c r="I17" s="19"/>
      <c r="J17" s="19"/>
      <c r="K17" s="16"/>
      <c r="L17" s="16"/>
      <c r="M17" s="16"/>
    </row>
    <row r="18" spans="1:13" x14ac:dyDescent="0.25">
      <c r="A18" s="44" t="s">
        <v>598</v>
      </c>
      <c r="B18" s="225" t="s">
        <v>589</v>
      </c>
      <c r="C18" s="226">
        <v>46.940441707965199</v>
      </c>
      <c r="D18" s="227">
        <v>36.186355623274174</v>
      </c>
      <c r="E18" s="227">
        <v>16.87320266876063</v>
      </c>
      <c r="F18" s="16"/>
      <c r="G18" s="16"/>
      <c r="H18" s="16"/>
      <c r="J18" s="16"/>
      <c r="K18" s="16"/>
      <c r="L18" s="16"/>
      <c r="M18" s="16"/>
    </row>
    <row r="20" spans="1:13" x14ac:dyDescent="0.25">
      <c r="B20" s="11"/>
      <c r="C20" s="12"/>
      <c r="F20" s="16"/>
      <c r="G20" s="16"/>
      <c r="H20" s="16"/>
      <c r="J20" s="16"/>
      <c r="K20" s="16"/>
      <c r="L20" s="16"/>
      <c r="M20" s="16"/>
    </row>
    <row r="21" spans="1:13" x14ac:dyDescent="0.25">
      <c r="B21" s="11"/>
      <c r="C21" s="12"/>
      <c r="F21" s="16"/>
      <c r="G21" s="16"/>
      <c r="H21" s="16"/>
      <c r="J21" s="16"/>
      <c r="K21" s="16"/>
      <c r="L21" s="16"/>
      <c r="M21" s="16"/>
    </row>
    <row r="22" spans="1:13" x14ac:dyDescent="0.25">
      <c r="A22" s="44" t="s">
        <v>601</v>
      </c>
      <c r="B22" s="220" t="s">
        <v>591</v>
      </c>
      <c r="C22" s="221"/>
      <c r="D22" s="222"/>
      <c r="E22" s="222"/>
      <c r="F22" s="16"/>
      <c r="G22" s="16"/>
      <c r="H22" s="16"/>
      <c r="J22" s="16"/>
      <c r="K22" s="16"/>
      <c r="L22" s="16"/>
      <c r="M22" s="16"/>
    </row>
    <row r="23" spans="1:13" x14ac:dyDescent="0.25">
      <c r="B23" s="223"/>
      <c r="C23" s="228" t="s">
        <v>595</v>
      </c>
      <c r="D23" s="229" t="s">
        <v>594</v>
      </c>
      <c r="E23" s="229" t="s">
        <v>593</v>
      </c>
    </row>
    <row r="24" spans="1:13" x14ac:dyDescent="0.25">
      <c r="A24" s="44" t="s">
        <v>596</v>
      </c>
      <c r="B24" s="223" t="s">
        <v>584</v>
      </c>
      <c r="C24" s="224" t="s">
        <v>585</v>
      </c>
      <c r="D24" s="224" t="s">
        <v>586</v>
      </c>
      <c r="E24" s="224" t="s">
        <v>587</v>
      </c>
      <c r="F24" s="16"/>
      <c r="G24" s="16"/>
      <c r="H24" s="16"/>
      <c r="J24" s="16"/>
      <c r="K24" s="16"/>
      <c r="L24" s="16"/>
      <c r="M24" s="16"/>
    </row>
    <row r="25" spans="1:13" x14ac:dyDescent="0.25">
      <c r="A25" s="44" t="s">
        <v>597</v>
      </c>
      <c r="B25" s="225" t="s">
        <v>588</v>
      </c>
      <c r="C25" s="226">
        <v>39.481392498818849</v>
      </c>
      <c r="D25" s="227">
        <v>28.547602935442139</v>
      </c>
      <c r="E25" s="227">
        <v>31.971004565739008</v>
      </c>
      <c r="F25" s="16"/>
      <c r="G25" s="16"/>
      <c r="H25" s="16"/>
      <c r="J25" s="16"/>
      <c r="K25" s="16"/>
      <c r="L25" s="16"/>
      <c r="M25" s="16"/>
    </row>
    <row r="26" spans="1:13" x14ac:dyDescent="0.25">
      <c r="A26" s="44" t="s">
        <v>598</v>
      </c>
      <c r="B26" s="225" t="s">
        <v>589</v>
      </c>
      <c r="C26" s="226">
        <v>32.929750328819217</v>
      </c>
      <c r="D26" s="227">
        <v>40.668669796074226</v>
      </c>
      <c r="E26" s="227">
        <v>26.401579875106552</v>
      </c>
    </row>
    <row r="28" spans="1:13" x14ac:dyDescent="0.25">
      <c r="A28" s="8"/>
    </row>
    <row r="29" spans="1:13" x14ac:dyDescent="0.25">
      <c r="A29" s="28" t="s">
        <v>592</v>
      </c>
    </row>
    <row r="30" spans="1:13" x14ac:dyDescent="0.25">
      <c r="A30" s="29" t="s">
        <v>633</v>
      </c>
    </row>
  </sheetData>
  <hyperlinks>
    <hyperlink ref="A5" location="Índice!A1" display="Índice/Contents" xr:uid="{A8B46B14-4874-41AB-BFA5-3170B10CADE3}"/>
  </hyperlinks>
  <pageMargins left="0.7" right="0.7" top="0.75" bottom="0.75" header="0.3" footer="0.3"/>
  <pageSetup paperSize="9" orientation="portrait" horizontalDpi="1200" verticalDpi="1200"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ADF1-8CB4-48D2-8A19-C8CE98D5856E}">
  <sheetPr codeName="Sheet31">
    <tabColor theme="4" tint="-0.249977111117893"/>
  </sheetPr>
  <dimension ref="A5:CD34"/>
  <sheetViews>
    <sheetView showGridLines="0" showRowColHeaders="0" topLeftCell="A5" workbookViewId="0">
      <selection sqref="A1:XFD1048576"/>
    </sheetView>
  </sheetViews>
  <sheetFormatPr defaultRowHeight="15" x14ac:dyDescent="0.25"/>
  <cols>
    <col min="1" max="1" width="61.140625" customWidth="1"/>
    <col min="2" max="2" width="17.5703125" customWidth="1"/>
    <col min="3" max="3" width="18.42578125" customWidth="1"/>
    <col min="4" max="4" width="23.42578125" customWidth="1"/>
    <col min="5" max="5" width="19.42578125" customWidth="1"/>
    <col min="6" max="6" width="4.5703125" customWidth="1"/>
    <col min="7" max="9" width="19.85546875" customWidth="1"/>
    <col min="10" max="10" width="25" customWidth="1"/>
  </cols>
  <sheetData>
    <row r="5" spans="1:9" ht="36" customHeight="1" x14ac:dyDescent="0.25">
      <c r="A5" s="10" t="s">
        <v>3</v>
      </c>
    </row>
    <row r="6" spans="1:9" ht="18.75" x14ac:dyDescent="0.25">
      <c r="A6" s="6" t="s">
        <v>179</v>
      </c>
    </row>
    <row r="7" spans="1:9" x14ac:dyDescent="0.25">
      <c r="A7" s="78" t="str">
        <f>+Índice!A95</f>
        <v>Parte II. Tema em Destaque: Caraterização dos trabalhadores estrangeiros por conta de outrem em Portugal / Part II Special Issue: Characterization of foreign employees in Portugal</v>
      </c>
    </row>
    <row r="8" spans="1:9" ht="18.75" x14ac:dyDescent="0.25">
      <c r="A8" s="6"/>
    </row>
    <row r="9" spans="1:9" x14ac:dyDescent="0.25">
      <c r="A9" s="219"/>
    </row>
    <row r="10" spans="1:9" x14ac:dyDescent="0.25">
      <c r="A10" s="219" t="s">
        <v>602</v>
      </c>
      <c r="E10" s="84"/>
    </row>
    <row r="11" spans="1:9" x14ac:dyDescent="0.25">
      <c r="A11" s="86" t="s">
        <v>1228</v>
      </c>
      <c r="B11" s="84"/>
      <c r="C11" s="84"/>
      <c r="D11" s="84"/>
      <c r="E11" s="84"/>
      <c r="F11" s="84"/>
      <c r="G11" s="84"/>
    </row>
    <row r="12" spans="1:9" x14ac:dyDescent="0.25">
      <c r="A12" s="86"/>
      <c r="B12" s="84"/>
      <c r="C12" s="84"/>
      <c r="D12" s="84"/>
      <c r="E12" s="84"/>
      <c r="F12" s="84"/>
      <c r="G12" s="84"/>
    </row>
    <row r="13" spans="1:9" ht="39" x14ac:dyDescent="0.25">
      <c r="A13" s="321" t="s">
        <v>2</v>
      </c>
      <c r="B13" s="84"/>
      <c r="C13" s="320" t="s">
        <v>1226</v>
      </c>
      <c r="D13" s="320" t="s">
        <v>1226</v>
      </c>
      <c r="E13" s="320" t="s">
        <v>1226</v>
      </c>
      <c r="F13" s="84"/>
      <c r="G13" s="320" t="s">
        <v>1226</v>
      </c>
      <c r="H13" s="320" t="s">
        <v>1226</v>
      </c>
      <c r="I13" s="320" t="s">
        <v>1226</v>
      </c>
    </row>
    <row r="14" spans="1:9" x14ac:dyDescent="0.25">
      <c r="A14" s="86"/>
      <c r="B14" s="84"/>
      <c r="C14" s="84"/>
      <c r="D14" s="84"/>
      <c r="E14" s="84"/>
      <c r="F14" s="84"/>
      <c r="G14" s="84"/>
    </row>
    <row r="15" spans="1:9" x14ac:dyDescent="0.25">
      <c r="A15" s="86"/>
      <c r="B15" s="84"/>
      <c r="C15" s="466" t="s">
        <v>646</v>
      </c>
      <c r="D15" s="466"/>
      <c r="E15" s="466"/>
      <c r="F15" s="84"/>
      <c r="G15" s="466" t="s">
        <v>648</v>
      </c>
      <c r="H15" s="466"/>
      <c r="I15" s="466"/>
    </row>
    <row r="16" spans="1:9" x14ac:dyDescent="0.25">
      <c r="C16" s="228" t="s">
        <v>647</v>
      </c>
      <c r="D16" s="229" t="s">
        <v>90</v>
      </c>
      <c r="E16" s="229" t="s">
        <v>91</v>
      </c>
      <c r="G16" s="228" t="s">
        <v>647</v>
      </c>
      <c r="H16" s="229" t="s">
        <v>90</v>
      </c>
      <c r="I16" s="229" t="s">
        <v>91</v>
      </c>
    </row>
    <row r="17" spans="1:82" x14ac:dyDescent="0.25">
      <c r="A17" s="9"/>
      <c r="C17" s="17"/>
      <c r="D17" s="17"/>
      <c r="E17" s="17"/>
      <c r="F17" s="17"/>
      <c r="G17" s="17"/>
      <c r="H17" s="17"/>
      <c r="I17" s="17"/>
      <c r="J17" s="17"/>
      <c r="K17" s="17"/>
    </row>
    <row r="18" spans="1:82" ht="14.25" customHeight="1" x14ac:dyDescent="0.25">
      <c r="A18" s="44"/>
      <c r="B18" s="33"/>
      <c r="C18" s="465" t="s">
        <v>603</v>
      </c>
      <c r="D18" s="465"/>
      <c r="E18" s="465"/>
      <c r="F18" s="17"/>
      <c r="G18" s="465" t="s">
        <v>604</v>
      </c>
      <c r="H18" s="465"/>
      <c r="I18" s="465"/>
      <c r="J18" s="30"/>
      <c r="K18" s="30"/>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row>
    <row r="19" spans="1:82" ht="23.25" customHeight="1" x14ac:dyDescent="0.25">
      <c r="B19" s="33"/>
      <c r="C19" s="230" t="s">
        <v>605</v>
      </c>
      <c r="D19" s="230" t="s">
        <v>88</v>
      </c>
      <c r="E19" s="230" t="s">
        <v>89</v>
      </c>
      <c r="F19" s="17"/>
      <c r="G19" s="230" t="s">
        <v>605</v>
      </c>
      <c r="H19" s="230" t="s">
        <v>88</v>
      </c>
      <c r="I19" s="230" t="s">
        <v>89</v>
      </c>
      <c r="J19" s="27"/>
      <c r="K19" s="27"/>
      <c r="L19" s="16"/>
      <c r="M19" s="16"/>
      <c r="N19" s="16"/>
    </row>
    <row r="20" spans="1:82" x14ac:dyDescent="0.25">
      <c r="A20" s="44" t="s">
        <v>649</v>
      </c>
      <c r="B20" s="43" t="s">
        <v>606</v>
      </c>
      <c r="C20" s="43">
        <v>207</v>
      </c>
      <c r="D20" s="43">
        <v>386</v>
      </c>
      <c r="E20" s="43">
        <v>4</v>
      </c>
      <c r="F20" s="17"/>
      <c r="G20" s="43">
        <v>488</v>
      </c>
      <c r="H20" s="43">
        <v>506</v>
      </c>
      <c r="I20" s="43">
        <v>0</v>
      </c>
      <c r="J20" s="19"/>
      <c r="K20" s="19"/>
    </row>
    <row r="21" spans="1:82" x14ac:dyDescent="0.25">
      <c r="A21" s="44" t="s">
        <v>650</v>
      </c>
      <c r="B21" s="43" t="s">
        <v>607</v>
      </c>
      <c r="C21" s="43">
        <v>2008</v>
      </c>
      <c r="D21" s="43">
        <v>5458</v>
      </c>
      <c r="E21" s="43">
        <v>1155</v>
      </c>
      <c r="F21" s="17"/>
      <c r="G21" s="43">
        <v>4355</v>
      </c>
      <c r="H21" s="43">
        <v>7587</v>
      </c>
      <c r="I21" s="43">
        <v>975</v>
      </c>
      <c r="J21" s="19"/>
      <c r="K21" s="19"/>
      <c r="L21" s="16"/>
      <c r="M21" s="16"/>
      <c r="N21" s="16"/>
    </row>
    <row r="22" spans="1:82" x14ac:dyDescent="0.25">
      <c r="A22" s="44" t="s">
        <v>651</v>
      </c>
      <c r="B22" s="43" t="s">
        <v>608</v>
      </c>
      <c r="C22" s="43">
        <v>3487</v>
      </c>
      <c r="D22" s="43">
        <v>7298</v>
      </c>
      <c r="E22" s="43">
        <v>5836</v>
      </c>
      <c r="F22" s="33"/>
      <c r="G22" s="43">
        <v>7154</v>
      </c>
      <c r="H22" s="43">
        <v>11374</v>
      </c>
      <c r="I22" s="43">
        <v>4950</v>
      </c>
      <c r="K22" s="16"/>
      <c r="L22" s="16"/>
      <c r="M22" s="16"/>
      <c r="N22" s="16"/>
    </row>
    <row r="23" spans="1:82" x14ac:dyDescent="0.25">
      <c r="A23" s="44" t="s">
        <v>652</v>
      </c>
      <c r="B23" s="43" t="s">
        <v>609</v>
      </c>
      <c r="C23" s="43">
        <v>4705</v>
      </c>
      <c r="D23" s="43">
        <v>7328</v>
      </c>
      <c r="E23" s="43">
        <v>7575</v>
      </c>
      <c r="F23" s="33"/>
      <c r="G23" s="43">
        <v>8296</v>
      </c>
      <c r="H23" s="43">
        <v>11098</v>
      </c>
      <c r="I23" s="43">
        <v>6952</v>
      </c>
    </row>
    <row r="24" spans="1:82" x14ac:dyDescent="0.25">
      <c r="A24" s="44" t="s">
        <v>653</v>
      </c>
      <c r="B24" s="43" t="s">
        <v>610</v>
      </c>
      <c r="C24" s="43">
        <v>5156</v>
      </c>
      <c r="D24" s="43">
        <v>7258</v>
      </c>
      <c r="E24" s="43">
        <v>6726</v>
      </c>
      <c r="F24" s="33"/>
      <c r="G24" s="43">
        <v>7977</v>
      </c>
      <c r="H24" s="43">
        <v>9576</v>
      </c>
      <c r="I24" s="43">
        <v>6351</v>
      </c>
      <c r="K24" s="16"/>
      <c r="L24" s="16"/>
      <c r="M24" s="16"/>
      <c r="N24" s="16"/>
    </row>
    <row r="25" spans="1:82" x14ac:dyDescent="0.25">
      <c r="A25" s="44" t="s">
        <v>654</v>
      </c>
      <c r="B25" s="43" t="s">
        <v>611</v>
      </c>
      <c r="C25" s="43">
        <v>5506</v>
      </c>
      <c r="D25" s="43">
        <v>6560</v>
      </c>
      <c r="E25" s="43">
        <v>5451</v>
      </c>
      <c r="F25" s="33"/>
      <c r="G25" s="43">
        <v>7273</v>
      </c>
      <c r="H25" s="43">
        <v>7593</v>
      </c>
      <c r="I25" s="43">
        <v>4794</v>
      </c>
      <c r="K25" s="16"/>
      <c r="L25" s="16"/>
      <c r="M25" s="16"/>
      <c r="N25" s="16"/>
    </row>
    <row r="26" spans="1:82" x14ac:dyDescent="0.25">
      <c r="A26" s="44" t="s">
        <v>655</v>
      </c>
      <c r="B26" s="43" t="s">
        <v>612</v>
      </c>
      <c r="C26" s="43">
        <v>5240</v>
      </c>
      <c r="D26" s="43">
        <v>5022</v>
      </c>
      <c r="E26" s="43">
        <v>3716</v>
      </c>
      <c r="F26" s="33"/>
      <c r="G26" s="43">
        <v>6050</v>
      </c>
      <c r="H26" s="43">
        <v>5217</v>
      </c>
      <c r="I26" s="43">
        <v>3596</v>
      </c>
      <c r="K26" s="16"/>
      <c r="L26" s="16"/>
      <c r="M26" s="16"/>
      <c r="N26" s="16"/>
    </row>
    <row r="27" spans="1:82" x14ac:dyDescent="0.25">
      <c r="A27" s="44" t="s">
        <v>656</v>
      </c>
      <c r="B27" s="43" t="s">
        <v>613</v>
      </c>
      <c r="C27" s="43">
        <v>4265</v>
      </c>
      <c r="D27" s="43">
        <v>3422</v>
      </c>
      <c r="E27" s="43">
        <v>2419</v>
      </c>
      <c r="F27" s="33"/>
      <c r="G27" s="43">
        <v>4538</v>
      </c>
      <c r="H27" s="43">
        <v>3643</v>
      </c>
      <c r="I27" s="43">
        <v>2567</v>
      </c>
    </row>
    <row r="28" spans="1:82" x14ac:dyDescent="0.25">
      <c r="A28" s="44" t="s">
        <v>657</v>
      </c>
      <c r="B28" s="43" t="s">
        <v>614</v>
      </c>
      <c r="C28" s="43">
        <v>2962</v>
      </c>
      <c r="D28" s="43">
        <v>2220</v>
      </c>
      <c r="E28" s="43">
        <v>1556</v>
      </c>
      <c r="F28" s="33"/>
      <c r="G28" s="43">
        <v>3023</v>
      </c>
      <c r="H28" s="43">
        <v>2335</v>
      </c>
      <c r="I28" s="43">
        <v>1860</v>
      </c>
      <c r="K28" s="16"/>
      <c r="L28" s="16"/>
      <c r="M28" s="16"/>
      <c r="N28" s="16"/>
    </row>
    <row r="29" spans="1:82" x14ac:dyDescent="0.25">
      <c r="A29" s="44" t="s">
        <v>658</v>
      </c>
      <c r="B29" s="43" t="s">
        <v>615</v>
      </c>
      <c r="C29" s="43">
        <v>1642</v>
      </c>
      <c r="D29" s="43">
        <v>1102</v>
      </c>
      <c r="E29" s="43">
        <v>837</v>
      </c>
      <c r="F29" s="33"/>
      <c r="G29" s="43">
        <v>1737</v>
      </c>
      <c r="H29" s="43">
        <v>1347</v>
      </c>
      <c r="I29" s="43">
        <v>1133</v>
      </c>
      <c r="K29" s="16"/>
      <c r="L29" s="16"/>
      <c r="M29" s="16"/>
      <c r="N29" s="16"/>
    </row>
    <row r="30" spans="1:82" x14ac:dyDescent="0.25">
      <c r="A30" s="44" t="s">
        <v>659</v>
      </c>
      <c r="B30" s="43" t="s">
        <v>616</v>
      </c>
      <c r="C30" s="43">
        <v>657</v>
      </c>
      <c r="D30" s="43">
        <v>344</v>
      </c>
      <c r="E30" s="43">
        <v>365</v>
      </c>
      <c r="F30" s="33"/>
      <c r="G30" s="43">
        <v>818</v>
      </c>
      <c r="H30" s="43">
        <v>508</v>
      </c>
      <c r="I30" s="43">
        <v>795</v>
      </c>
    </row>
    <row r="31" spans="1:82" x14ac:dyDescent="0.25">
      <c r="B31" s="33"/>
      <c r="C31" s="33"/>
      <c r="D31" s="33"/>
      <c r="E31" s="33"/>
      <c r="F31" s="33"/>
      <c r="G31" s="33"/>
      <c r="H31" s="33"/>
      <c r="I31" s="33"/>
    </row>
    <row r="32" spans="1:82" x14ac:dyDescent="0.25">
      <c r="A32" s="8"/>
    </row>
    <row r="33" spans="1:1" x14ac:dyDescent="0.25">
      <c r="A33" s="28" t="s">
        <v>617</v>
      </c>
    </row>
    <row r="34" spans="1:1" x14ac:dyDescent="0.25">
      <c r="A34" s="29" t="s">
        <v>660</v>
      </c>
    </row>
  </sheetData>
  <mergeCells count="4">
    <mergeCell ref="C18:E18"/>
    <mergeCell ref="G18:I18"/>
    <mergeCell ref="C15:E15"/>
    <mergeCell ref="G15:I15"/>
  </mergeCells>
  <hyperlinks>
    <hyperlink ref="A5" location="Índice!A1" display="Índice/Contents" xr:uid="{DF7C1014-E6FC-4C08-9B2F-6C4396F5D6A5}"/>
  </hyperlinks>
  <pageMargins left="0.7" right="0.7" top="0.75" bottom="0.75" header="0.3" footer="0.3"/>
  <pageSetup paperSize="9" orientation="portrait" horizontalDpi="1200" verticalDpi="1200"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014A-7D2B-4CAD-89D6-EE0E0AF9DA3A}">
  <sheetPr codeName="Sheet32">
    <tabColor theme="4" tint="-0.249977111117893"/>
  </sheetPr>
  <dimension ref="A5:CD35"/>
  <sheetViews>
    <sheetView showGridLines="0" showRowColHeaders="0" topLeftCell="A4" workbookViewId="0">
      <selection sqref="A1:XFD1048576"/>
    </sheetView>
  </sheetViews>
  <sheetFormatPr defaultRowHeight="15" x14ac:dyDescent="0.25"/>
  <cols>
    <col min="1" max="1" width="61.140625" customWidth="1"/>
    <col min="2" max="2" width="17.5703125" customWidth="1"/>
    <col min="3" max="3" width="18.42578125" customWidth="1"/>
    <col min="4" max="4" width="23.42578125" customWidth="1"/>
    <col min="5" max="5" width="19.42578125" customWidth="1"/>
    <col min="6" max="6" width="4.5703125" customWidth="1"/>
    <col min="7" max="9" width="19.85546875" customWidth="1"/>
    <col min="10" max="10" width="25" customWidth="1"/>
  </cols>
  <sheetData>
    <row r="5" spans="1:9" ht="36" customHeight="1" x14ac:dyDescent="0.25">
      <c r="A5" s="10" t="s">
        <v>3</v>
      </c>
    </row>
    <row r="6" spans="1:9" ht="18.75" x14ac:dyDescent="0.25">
      <c r="A6" s="6" t="s">
        <v>179</v>
      </c>
    </row>
    <row r="7" spans="1:9" x14ac:dyDescent="0.25">
      <c r="A7" s="78" t="str">
        <f>+Índice!A95</f>
        <v>Parte II. Tema em Destaque: Caraterização dos trabalhadores estrangeiros por conta de outrem em Portugal / Part II Special Issue: Characterization of foreign employees in Portugal</v>
      </c>
    </row>
    <row r="8" spans="1:9" ht="18.75" x14ac:dyDescent="0.25">
      <c r="A8" s="6"/>
    </row>
    <row r="9" spans="1:9" x14ac:dyDescent="0.25">
      <c r="A9" s="219"/>
    </row>
    <row r="10" spans="1:9" x14ac:dyDescent="0.25">
      <c r="A10" s="219" t="s">
        <v>1446</v>
      </c>
      <c r="E10" s="84"/>
    </row>
    <row r="11" spans="1:9" x14ac:dyDescent="0.25">
      <c r="A11" s="86" t="s">
        <v>1445</v>
      </c>
      <c r="B11" s="84"/>
      <c r="C11" s="84"/>
      <c r="D11" s="84"/>
      <c r="E11" s="84"/>
      <c r="F11" s="84"/>
      <c r="G11" s="84"/>
    </row>
    <row r="12" spans="1:9" x14ac:dyDescent="0.25">
      <c r="A12" s="86"/>
      <c r="B12" s="84"/>
      <c r="C12" s="84"/>
      <c r="D12" s="84"/>
      <c r="E12" s="84"/>
      <c r="F12" s="84"/>
      <c r="G12" s="84"/>
    </row>
    <row r="13" spans="1:9" ht="39" x14ac:dyDescent="0.25">
      <c r="A13" s="321" t="s">
        <v>2</v>
      </c>
      <c r="B13" s="84"/>
      <c r="C13" s="320" t="s">
        <v>1226</v>
      </c>
      <c r="D13" s="320" t="s">
        <v>1226</v>
      </c>
      <c r="E13" s="320" t="s">
        <v>1226</v>
      </c>
      <c r="F13" s="84"/>
      <c r="G13" s="320" t="s">
        <v>1226</v>
      </c>
      <c r="H13" s="320" t="s">
        <v>1226</v>
      </c>
      <c r="I13" s="320" t="s">
        <v>1226</v>
      </c>
    </row>
    <row r="14" spans="1:9" x14ac:dyDescent="0.25">
      <c r="A14" s="86"/>
      <c r="B14" s="84"/>
      <c r="C14" s="84"/>
      <c r="D14" s="84"/>
      <c r="E14" s="84"/>
      <c r="F14" s="84"/>
      <c r="G14" s="84"/>
    </row>
    <row r="15" spans="1:9" x14ac:dyDescent="0.25">
      <c r="A15" s="86"/>
      <c r="B15" s="84"/>
      <c r="C15" s="84"/>
      <c r="D15" s="84"/>
      <c r="E15" s="84"/>
      <c r="F15" s="84"/>
      <c r="G15" s="84"/>
    </row>
    <row r="16" spans="1:9" x14ac:dyDescent="0.25">
      <c r="A16" s="86"/>
      <c r="B16" s="84"/>
      <c r="C16" s="466" t="s">
        <v>646</v>
      </c>
      <c r="D16" s="466"/>
      <c r="E16" s="466"/>
      <c r="F16" s="84"/>
      <c r="G16" s="466" t="s">
        <v>648</v>
      </c>
      <c r="H16" s="466"/>
      <c r="I16" s="466"/>
    </row>
    <row r="17" spans="1:82" x14ac:dyDescent="0.25">
      <c r="C17" s="322" t="s">
        <v>647</v>
      </c>
      <c r="D17" s="134" t="s">
        <v>90</v>
      </c>
      <c r="E17" s="134" t="s">
        <v>91</v>
      </c>
      <c r="F17" s="319"/>
      <c r="G17" s="322" t="s">
        <v>647</v>
      </c>
      <c r="H17" s="134" t="s">
        <v>90</v>
      </c>
      <c r="I17" s="134" t="s">
        <v>91</v>
      </c>
    </row>
    <row r="18" spans="1:82" x14ac:dyDescent="0.25">
      <c r="A18" s="9"/>
      <c r="C18" s="17"/>
      <c r="D18" s="17"/>
      <c r="E18" s="17"/>
      <c r="F18" s="17"/>
      <c r="G18" s="17"/>
      <c r="H18" s="17"/>
      <c r="I18" s="17"/>
      <c r="J18" s="17"/>
      <c r="K18" s="17"/>
    </row>
    <row r="19" spans="1:82" ht="14.25" customHeight="1" x14ac:dyDescent="0.25">
      <c r="A19" s="44"/>
      <c r="B19" s="33"/>
      <c r="C19" s="465" t="s">
        <v>603</v>
      </c>
      <c r="D19" s="465"/>
      <c r="E19" s="465"/>
      <c r="F19" s="17"/>
      <c r="G19" s="465" t="s">
        <v>604</v>
      </c>
      <c r="H19" s="465"/>
      <c r="I19" s="465"/>
      <c r="J19" s="30"/>
      <c r="K19" s="30"/>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row>
    <row r="20" spans="1:82" ht="23.25" customHeight="1" x14ac:dyDescent="0.25">
      <c r="B20" s="33"/>
      <c r="C20" s="230" t="s">
        <v>605</v>
      </c>
      <c r="D20" s="230" t="s">
        <v>88</v>
      </c>
      <c r="E20" s="230" t="s">
        <v>89</v>
      </c>
      <c r="F20" s="17"/>
      <c r="G20" s="230" t="s">
        <v>605</v>
      </c>
      <c r="H20" s="230" t="s">
        <v>88</v>
      </c>
      <c r="I20" s="230" t="s">
        <v>89</v>
      </c>
      <c r="J20" s="27"/>
      <c r="K20" s="27"/>
      <c r="L20" s="16"/>
      <c r="M20" s="16"/>
      <c r="N20" s="16"/>
    </row>
    <row r="21" spans="1:82" x14ac:dyDescent="0.25">
      <c r="A21" s="44" t="s">
        <v>649</v>
      </c>
      <c r="B21" s="43" t="s">
        <v>606</v>
      </c>
      <c r="C21" s="43">
        <v>1690</v>
      </c>
      <c r="D21" s="43">
        <v>5887</v>
      </c>
      <c r="E21" s="43">
        <v>24</v>
      </c>
      <c r="G21" s="43">
        <v>4567</v>
      </c>
      <c r="H21" s="43">
        <v>7834</v>
      </c>
      <c r="I21" s="43">
        <v>88</v>
      </c>
      <c r="J21" s="19"/>
      <c r="K21" s="19"/>
    </row>
    <row r="22" spans="1:82" x14ac:dyDescent="0.25">
      <c r="A22" s="44" t="s">
        <v>650</v>
      </c>
      <c r="B22" s="43" t="s">
        <v>607</v>
      </c>
      <c r="C22" s="43">
        <v>11268</v>
      </c>
      <c r="D22" s="43">
        <v>56741</v>
      </c>
      <c r="E22" s="43">
        <v>33787</v>
      </c>
      <c r="G22" s="43">
        <v>26554</v>
      </c>
      <c r="H22" s="43">
        <v>72753</v>
      </c>
      <c r="I22" s="43">
        <v>19931</v>
      </c>
      <c r="J22" s="19"/>
      <c r="K22" s="19"/>
      <c r="L22" s="16"/>
      <c r="M22" s="16"/>
      <c r="N22" s="16"/>
    </row>
    <row r="23" spans="1:82" x14ac:dyDescent="0.25">
      <c r="A23" s="44" t="s">
        <v>651</v>
      </c>
      <c r="B23" s="43" t="s">
        <v>608</v>
      </c>
      <c r="C23" s="43">
        <v>19028</v>
      </c>
      <c r="D23" s="43">
        <v>67277</v>
      </c>
      <c r="E23" s="43">
        <v>97042</v>
      </c>
      <c r="G23" s="43">
        <v>39567</v>
      </c>
      <c r="H23" s="43">
        <v>84017</v>
      </c>
      <c r="I23" s="43">
        <v>61876</v>
      </c>
      <c r="K23" s="16"/>
      <c r="L23" s="16"/>
      <c r="M23" s="16"/>
      <c r="N23" s="16"/>
    </row>
    <row r="24" spans="1:82" x14ac:dyDescent="0.25">
      <c r="A24" s="44" t="s">
        <v>652</v>
      </c>
      <c r="B24" s="43" t="s">
        <v>609</v>
      </c>
      <c r="C24" s="43">
        <v>32606</v>
      </c>
      <c r="D24" s="43">
        <v>67242</v>
      </c>
      <c r="E24" s="43">
        <v>101510</v>
      </c>
      <c r="G24" s="43">
        <v>60292</v>
      </c>
      <c r="H24" s="43">
        <v>78573</v>
      </c>
      <c r="I24" s="43">
        <v>66326</v>
      </c>
    </row>
    <row r="25" spans="1:82" x14ac:dyDescent="0.25">
      <c r="A25" s="44" t="s">
        <v>653</v>
      </c>
      <c r="B25" s="43" t="s">
        <v>610</v>
      </c>
      <c r="C25" s="43">
        <v>50368</v>
      </c>
      <c r="D25" s="43">
        <v>77877</v>
      </c>
      <c r="E25" s="43">
        <v>114166</v>
      </c>
      <c r="G25" s="43">
        <v>87711</v>
      </c>
      <c r="H25" s="43">
        <v>83500</v>
      </c>
      <c r="I25" s="43">
        <v>70907</v>
      </c>
      <c r="K25" s="16"/>
      <c r="L25" s="16"/>
      <c r="M25" s="16"/>
      <c r="N25" s="16"/>
    </row>
    <row r="26" spans="1:82" x14ac:dyDescent="0.25">
      <c r="A26" s="44" t="s">
        <v>654</v>
      </c>
      <c r="B26" s="43" t="s">
        <v>611</v>
      </c>
      <c r="C26" s="43">
        <v>74178</v>
      </c>
      <c r="D26" s="43">
        <v>92067</v>
      </c>
      <c r="E26" s="43">
        <v>127658</v>
      </c>
      <c r="G26" s="43">
        <v>116674</v>
      </c>
      <c r="H26" s="43">
        <v>93182</v>
      </c>
      <c r="I26" s="43">
        <v>80122</v>
      </c>
      <c r="K26" s="16"/>
      <c r="L26" s="16"/>
      <c r="M26" s="16"/>
      <c r="N26" s="16"/>
    </row>
    <row r="27" spans="1:82" x14ac:dyDescent="0.25">
      <c r="A27" s="44" t="s">
        <v>655</v>
      </c>
      <c r="B27" s="43" t="s">
        <v>612</v>
      </c>
      <c r="C27" s="43">
        <v>105800</v>
      </c>
      <c r="D27" s="43">
        <v>88931</v>
      </c>
      <c r="E27" s="43">
        <v>112249</v>
      </c>
      <c r="G27" s="43">
        <v>147052</v>
      </c>
      <c r="H27" s="43">
        <v>85761</v>
      </c>
      <c r="I27" s="43">
        <v>72064</v>
      </c>
      <c r="K27" s="16"/>
      <c r="L27" s="16"/>
      <c r="M27" s="16"/>
      <c r="N27" s="16"/>
    </row>
    <row r="28" spans="1:82" x14ac:dyDescent="0.25">
      <c r="A28" s="44" t="s">
        <v>656</v>
      </c>
      <c r="B28" s="43" t="s">
        <v>613</v>
      </c>
      <c r="C28" s="43">
        <v>125570</v>
      </c>
      <c r="D28" s="43">
        <v>70236</v>
      </c>
      <c r="E28" s="43">
        <v>75337</v>
      </c>
      <c r="G28" s="43">
        <v>161461</v>
      </c>
      <c r="H28" s="43">
        <v>64261</v>
      </c>
      <c r="I28" s="43">
        <v>49298</v>
      </c>
    </row>
    <row r="29" spans="1:82" x14ac:dyDescent="0.25">
      <c r="A29" s="44" t="s">
        <v>657</v>
      </c>
      <c r="B29" s="43" t="s">
        <v>614</v>
      </c>
      <c r="C29" s="43">
        <v>127374</v>
      </c>
      <c r="D29" s="43">
        <v>53725</v>
      </c>
      <c r="E29" s="43">
        <v>57661</v>
      </c>
      <c r="G29" s="43">
        <v>160685</v>
      </c>
      <c r="H29" s="43">
        <v>47883</v>
      </c>
      <c r="I29" s="43">
        <v>36128</v>
      </c>
      <c r="K29" s="16"/>
      <c r="L29" s="16"/>
      <c r="M29" s="16"/>
      <c r="N29" s="16"/>
    </row>
    <row r="30" spans="1:82" x14ac:dyDescent="0.25">
      <c r="A30" s="44" t="s">
        <v>658</v>
      </c>
      <c r="B30" s="43" t="s">
        <v>615</v>
      </c>
      <c r="C30" s="43">
        <v>84907</v>
      </c>
      <c r="D30" s="43">
        <v>31195</v>
      </c>
      <c r="E30" s="43">
        <v>37180</v>
      </c>
      <c r="G30" s="43">
        <v>99826</v>
      </c>
      <c r="H30" s="43">
        <v>28000</v>
      </c>
      <c r="I30" s="43">
        <v>26458</v>
      </c>
      <c r="K30" s="16"/>
      <c r="L30" s="16"/>
      <c r="M30" s="16"/>
      <c r="N30" s="16"/>
    </row>
    <row r="31" spans="1:82" x14ac:dyDescent="0.25">
      <c r="A31" s="44" t="s">
        <v>659</v>
      </c>
      <c r="B31" s="43" t="s">
        <v>616</v>
      </c>
      <c r="C31" s="43">
        <v>33404</v>
      </c>
      <c r="D31" s="43">
        <v>6436</v>
      </c>
      <c r="E31" s="43">
        <v>11641</v>
      </c>
      <c r="G31" s="43">
        <v>48463</v>
      </c>
      <c r="H31" s="43">
        <v>8604</v>
      </c>
      <c r="I31" s="43">
        <v>19642</v>
      </c>
    </row>
    <row r="32" spans="1:82" x14ac:dyDescent="0.25">
      <c r="B32" s="33"/>
      <c r="C32" s="33"/>
      <c r="D32" s="33"/>
      <c r="E32" s="33"/>
      <c r="F32" s="33"/>
      <c r="G32" s="33"/>
      <c r="H32" s="33"/>
      <c r="I32" s="33"/>
    </row>
    <row r="33" spans="1:1" x14ac:dyDescent="0.25">
      <c r="A33" s="8"/>
    </row>
    <row r="34" spans="1:1" x14ac:dyDescent="0.25">
      <c r="A34" s="28" t="s">
        <v>617</v>
      </c>
    </row>
    <row r="35" spans="1:1" x14ac:dyDescent="0.25">
      <c r="A35" s="29" t="s">
        <v>660</v>
      </c>
    </row>
  </sheetData>
  <mergeCells count="4">
    <mergeCell ref="C19:E19"/>
    <mergeCell ref="G19:I19"/>
    <mergeCell ref="C16:E16"/>
    <mergeCell ref="G16:I16"/>
  </mergeCells>
  <hyperlinks>
    <hyperlink ref="A5" location="Índice!A1" display="Índice/Contents" xr:uid="{745CF633-C856-4E33-B3F9-93F7F564E020}"/>
  </hyperlinks>
  <pageMargins left="0.7" right="0.7" top="0.75" bottom="0.75" header="0.3" footer="0.3"/>
  <pageSetup paperSize="9" orientation="portrait" horizontalDpi="1200" verticalDpi="1200"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0631-C28E-46F6-8F89-5EDD744449E5}">
  <sheetPr codeName="Sheet33">
    <tabColor theme="4" tint="-0.249977111117893"/>
  </sheetPr>
  <dimension ref="A5:CD43"/>
  <sheetViews>
    <sheetView showGridLines="0" showRowColHeaders="0" topLeftCell="A4" workbookViewId="0">
      <selection sqref="A1:XFD1048576"/>
    </sheetView>
  </sheetViews>
  <sheetFormatPr defaultRowHeight="15" x14ac:dyDescent="0.25"/>
  <cols>
    <col min="1" max="1" width="61.140625" customWidth="1"/>
    <col min="2" max="2" width="40.140625" customWidth="1"/>
    <col min="3" max="3" width="22.42578125" customWidth="1"/>
    <col min="4" max="4" width="18.42578125" customWidth="1"/>
    <col min="5" max="5" width="15.85546875" customWidth="1"/>
    <col min="6" max="6" width="8.5703125" customWidth="1"/>
    <col min="7" max="7" width="7" customWidth="1"/>
    <col min="8" max="10" width="19.85546875" customWidth="1"/>
    <col min="11" max="11" width="25" customWidth="1"/>
  </cols>
  <sheetData>
    <row r="5" spans="1:9" ht="36" customHeight="1" x14ac:dyDescent="0.25">
      <c r="A5" s="10" t="s">
        <v>3</v>
      </c>
      <c r="B5" s="10"/>
    </row>
    <row r="6" spans="1:9" ht="18.75" x14ac:dyDescent="0.25">
      <c r="A6" s="6" t="s">
        <v>179</v>
      </c>
      <c r="B6" s="6"/>
    </row>
    <row r="7" spans="1:9" ht="18.75" x14ac:dyDescent="0.25">
      <c r="A7" s="78" t="str">
        <f>+Índice!A95</f>
        <v>Parte II. Tema em Destaque: Caraterização dos trabalhadores estrangeiros por conta de outrem em Portugal / Part II Special Issue: Characterization of foreign employees in Portugal</v>
      </c>
      <c r="B7" s="6"/>
    </row>
    <row r="8" spans="1:9" ht="18.75" x14ac:dyDescent="0.25">
      <c r="A8" s="6"/>
      <c r="B8" s="6"/>
    </row>
    <row r="9" spans="1:9" x14ac:dyDescent="0.25">
      <c r="A9" s="219"/>
      <c r="B9" s="219"/>
    </row>
    <row r="10" spans="1:9" x14ac:dyDescent="0.25">
      <c r="A10" s="219" t="s">
        <v>618</v>
      </c>
      <c r="B10" s="219"/>
      <c r="E10" s="84"/>
      <c r="F10" s="84"/>
    </row>
    <row r="11" spans="1:9" x14ac:dyDescent="0.25">
      <c r="A11" s="86" t="s">
        <v>661</v>
      </c>
      <c r="B11" s="86"/>
      <c r="C11" s="84"/>
      <c r="D11" s="84"/>
      <c r="E11" s="84"/>
      <c r="F11" s="84"/>
      <c r="G11" s="84"/>
      <c r="H11" s="84"/>
    </row>
    <row r="12" spans="1:9" x14ac:dyDescent="0.25">
      <c r="A12" s="86"/>
      <c r="B12" s="86"/>
      <c r="C12" s="84"/>
      <c r="D12" s="84"/>
      <c r="E12" s="84"/>
      <c r="F12" s="84"/>
      <c r="G12" s="84"/>
      <c r="H12" s="84"/>
    </row>
    <row r="13" spans="1:9" x14ac:dyDescent="0.25">
      <c r="A13" s="321" t="s">
        <v>2</v>
      </c>
      <c r="B13" s="86"/>
      <c r="C13" s="323" t="s">
        <v>4</v>
      </c>
      <c r="D13" s="323" t="s">
        <v>4</v>
      </c>
      <c r="E13" s="323" t="s">
        <v>4</v>
      </c>
      <c r="F13" s="84"/>
      <c r="G13" s="323" t="s">
        <v>4</v>
      </c>
      <c r="H13" s="323" t="s">
        <v>4</v>
      </c>
      <c r="I13" s="323" t="s">
        <v>4</v>
      </c>
    </row>
    <row r="14" spans="1:9" ht="32.25" customHeight="1" x14ac:dyDescent="0.25">
      <c r="A14" s="86"/>
      <c r="B14" s="84"/>
      <c r="C14" s="466" t="s">
        <v>598</v>
      </c>
      <c r="D14" s="466"/>
      <c r="E14" s="466"/>
      <c r="F14" s="84"/>
      <c r="G14" s="466" t="s">
        <v>597</v>
      </c>
      <c r="H14" s="466"/>
      <c r="I14" s="466"/>
    </row>
    <row r="15" spans="1:9" x14ac:dyDescent="0.25">
      <c r="A15" s="86"/>
      <c r="B15" s="84"/>
      <c r="C15" s="228" t="s">
        <v>647</v>
      </c>
      <c r="D15" s="229" t="s">
        <v>90</v>
      </c>
      <c r="E15" s="229" t="s">
        <v>91</v>
      </c>
      <c r="G15" s="228" t="s">
        <v>647</v>
      </c>
      <c r="H15" s="229" t="s">
        <v>90</v>
      </c>
      <c r="I15" s="229" t="s">
        <v>91</v>
      </c>
    </row>
    <row r="17" spans="1:82" x14ac:dyDescent="0.25">
      <c r="A17" s="9"/>
      <c r="C17" s="17"/>
      <c r="D17" s="17"/>
      <c r="E17" s="17"/>
      <c r="F17" s="17"/>
      <c r="G17" s="17"/>
      <c r="H17" s="17"/>
      <c r="I17" s="17"/>
      <c r="J17" s="17"/>
      <c r="K17" s="17"/>
    </row>
    <row r="18" spans="1:82" ht="14.25" customHeight="1" x14ac:dyDescent="0.25">
      <c r="A18" s="44"/>
      <c r="B18" s="33"/>
      <c r="C18" s="465" t="s">
        <v>631</v>
      </c>
      <c r="D18" s="465"/>
      <c r="E18" s="465"/>
      <c r="F18" s="17"/>
      <c r="G18" s="465" t="s">
        <v>662</v>
      </c>
      <c r="H18" s="465"/>
      <c r="I18" s="465"/>
      <c r="J18" s="30"/>
      <c r="K18" s="30"/>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row>
    <row r="19" spans="1:82" ht="23.25" customHeight="1" x14ac:dyDescent="0.25">
      <c r="B19" s="33"/>
      <c r="C19" s="230" t="s">
        <v>605</v>
      </c>
      <c r="D19" s="230" t="s">
        <v>88</v>
      </c>
      <c r="E19" s="230" t="s">
        <v>89</v>
      </c>
      <c r="F19" s="17"/>
      <c r="G19" s="230" t="s">
        <v>605</v>
      </c>
      <c r="H19" s="230" t="s">
        <v>88</v>
      </c>
      <c r="I19" s="230" t="s">
        <v>89</v>
      </c>
      <c r="J19" s="27"/>
      <c r="K19" s="27"/>
      <c r="L19" s="16"/>
      <c r="M19" s="16"/>
      <c r="N19" s="16"/>
    </row>
    <row r="20" spans="1:82" x14ac:dyDescent="0.25">
      <c r="A20" s="20" t="s">
        <v>663</v>
      </c>
      <c r="B20" s="33" t="s">
        <v>619</v>
      </c>
      <c r="C20" s="231">
        <v>10.435737824972538</v>
      </c>
      <c r="D20" s="231">
        <v>17.649212742585132</v>
      </c>
      <c r="E20" s="231">
        <v>71.915049432442331</v>
      </c>
      <c r="G20" s="231">
        <v>6.9095310493453592</v>
      </c>
      <c r="H20" s="231">
        <v>21.384464748746563</v>
      </c>
      <c r="I20" s="231">
        <v>71.706004201908087</v>
      </c>
      <c r="J20" s="19"/>
      <c r="K20" s="19"/>
    </row>
    <row r="21" spans="1:82" x14ac:dyDescent="0.25">
      <c r="A21" s="197" t="s">
        <v>549</v>
      </c>
      <c r="B21" s="33" t="s">
        <v>533</v>
      </c>
      <c r="C21" s="231">
        <v>7.7989747037566186</v>
      </c>
      <c r="D21" s="231">
        <v>22.203546516513992</v>
      </c>
      <c r="E21" s="231">
        <v>69.997478779729391</v>
      </c>
      <c r="G21" s="231">
        <v>12.821225821166458</v>
      </c>
      <c r="H21" s="231">
        <v>17.133501841824891</v>
      </c>
      <c r="I21" s="231">
        <v>70.04527233700864</v>
      </c>
      <c r="J21" s="19"/>
      <c r="K21" s="19"/>
      <c r="L21" s="16"/>
      <c r="M21" s="16"/>
      <c r="N21" s="16"/>
    </row>
    <row r="22" spans="1:82" x14ac:dyDescent="0.25">
      <c r="A22" s="198" t="s">
        <v>548</v>
      </c>
      <c r="B22" s="33" t="s">
        <v>620</v>
      </c>
      <c r="C22" s="231">
        <v>8.927108927108927</v>
      </c>
      <c r="D22" s="231">
        <v>30.310475765021224</v>
      </c>
      <c r="E22" s="231">
        <v>60.762415307869858</v>
      </c>
      <c r="G22" s="231">
        <v>6.8176946672086913</v>
      </c>
      <c r="H22" s="231">
        <v>31.968661073949516</v>
      </c>
      <c r="I22" s="231">
        <v>61.213644258841796</v>
      </c>
      <c r="K22" s="16"/>
      <c r="L22" s="16"/>
      <c r="M22" s="16"/>
      <c r="N22" s="16"/>
    </row>
    <row r="23" spans="1:82" x14ac:dyDescent="0.25">
      <c r="A23" s="197" t="s">
        <v>554</v>
      </c>
      <c r="B23" s="33" t="s">
        <v>538</v>
      </c>
      <c r="C23" s="231">
        <v>14.097456328532026</v>
      </c>
      <c r="D23" s="231">
        <v>26.47870058228624</v>
      </c>
      <c r="E23" s="231">
        <v>59.423843089181737</v>
      </c>
      <c r="G23" s="231">
        <v>8.1038496335376582</v>
      </c>
      <c r="H23" s="231">
        <v>33.185935165136776</v>
      </c>
      <c r="I23" s="231">
        <v>58.710215201325568</v>
      </c>
    </row>
    <row r="24" spans="1:82" x14ac:dyDescent="0.25">
      <c r="A24" s="196" t="s">
        <v>552</v>
      </c>
      <c r="B24" s="33" t="s">
        <v>621</v>
      </c>
      <c r="C24" s="231">
        <v>19.368088467614534</v>
      </c>
      <c r="D24" s="231">
        <v>36.208530805687204</v>
      </c>
      <c r="E24" s="231">
        <v>44.423380726698262</v>
      </c>
      <c r="G24" s="231">
        <v>25.389293434175297</v>
      </c>
      <c r="H24" s="231">
        <v>25.527849543538501</v>
      </c>
      <c r="I24" s="231">
        <v>49.082857022286198</v>
      </c>
      <c r="K24" s="16"/>
      <c r="L24" s="16"/>
      <c r="M24" s="16"/>
      <c r="N24" s="16"/>
    </row>
    <row r="25" spans="1:82" x14ac:dyDescent="0.25">
      <c r="A25" s="20" t="s">
        <v>557</v>
      </c>
      <c r="B25" s="33" t="s">
        <v>622</v>
      </c>
      <c r="C25" s="231">
        <v>18.34625322997416</v>
      </c>
      <c r="D25" s="231">
        <v>39.922480620155035</v>
      </c>
      <c r="E25" s="231">
        <v>41.731266149870798</v>
      </c>
      <c r="G25" s="231">
        <v>19.250116244663314</v>
      </c>
      <c r="H25" s="231">
        <v>34.44223697003001</v>
      </c>
      <c r="I25" s="231">
        <v>46.307646785306673</v>
      </c>
      <c r="K25" s="16"/>
      <c r="L25" s="16"/>
      <c r="M25" s="16"/>
      <c r="N25" s="16"/>
    </row>
    <row r="26" spans="1:82" x14ac:dyDescent="0.25">
      <c r="A26" s="20" t="s">
        <v>664</v>
      </c>
      <c r="B26" s="33" t="s">
        <v>623</v>
      </c>
      <c r="C26" s="231">
        <v>25.774058577405857</v>
      </c>
      <c r="D26" s="231">
        <v>33.835425383542542</v>
      </c>
      <c r="E26" s="231">
        <v>40.390516039051604</v>
      </c>
      <c r="G26" s="231">
        <v>21.284332688588009</v>
      </c>
      <c r="H26" s="231">
        <v>38.818826563507415</v>
      </c>
      <c r="I26" s="231">
        <v>39.896840747904577</v>
      </c>
      <c r="K26" s="16"/>
      <c r="L26" s="16"/>
      <c r="M26" s="16"/>
      <c r="N26" s="16"/>
    </row>
    <row r="27" spans="1:82" x14ac:dyDescent="0.25">
      <c r="A27" s="20" t="s">
        <v>665</v>
      </c>
      <c r="B27" s="33" t="s">
        <v>624</v>
      </c>
      <c r="C27" s="231">
        <v>16.285714285714288</v>
      </c>
      <c r="D27" s="231">
        <v>44.987012987012989</v>
      </c>
      <c r="E27" s="231">
        <v>38.727272727272727</v>
      </c>
      <c r="G27" s="231">
        <v>25.524218617532355</v>
      </c>
      <c r="H27" s="231">
        <v>36.251624936415531</v>
      </c>
      <c r="I27" s="231">
        <v>38.224156446052113</v>
      </c>
    </row>
    <row r="28" spans="1:82" x14ac:dyDescent="0.25">
      <c r="A28" s="20" t="s">
        <v>666</v>
      </c>
      <c r="B28" s="33" t="s">
        <v>625</v>
      </c>
      <c r="C28" s="231">
        <v>26.3152329085814</v>
      </c>
      <c r="D28" s="231">
        <v>39.137101464601074</v>
      </c>
      <c r="E28" s="231">
        <v>34.547665626817533</v>
      </c>
      <c r="G28" s="231">
        <v>24.879487670326995</v>
      </c>
      <c r="H28" s="231">
        <v>39.270777137752411</v>
      </c>
      <c r="I28" s="231">
        <v>35.849735191920601</v>
      </c>
      <c r="K28" s="16"/>
      <c r="L28" s="16"/>
      <c r="M28" s="16"/>
      <c r="N28" s="16"/>
    </row>
    <row r="29" spans="1:82" x14ac:dyDescent="0.25">
      <c r="A29" s="20" t="s">
        <v>556</v>
      </c>
      <c r="B29" s="33" t="s">
        <v>626</v>
      </c>
      <c r="C29" s="231">
        <v>36.338797814207652</v>
      </c>
      <c r="D29" s="231">
        <v>41.803278688524593</v>
      </c>
      <c r="E29" s="231">
        <v>21.857923497267759</v>
      </c>
      <c r="G29" s="231">
        <v>50.022292993630572</v>
      </c>
      <c r="H29" s="231">
        <v>29.101910828025478</v>
      </c>
      <c r="I29" s="231">
        <v>20.875796178343951</v>
      </c>
      <c r="K29" s="16"/>
      <c r="L29" s="16"/>
      <c r="M29" s="16"/>
      <c r="N29" s="16"/>
    </row>
    <row r="30" spans="1:82" x14ac:dyDescent="0.25">
      <c r="A30" s="24" t="s">
        <v>542</v>
      </c>
      <c r="B30" s="33" t="s">
        <v>526</v>
      </c>
      <c r="C30" s="231">
        <v>38.732304552990691</v>
      </c>
      <c r="D30" s="231">
        <v>39.65480593461718</v>
      </c>
      <c r="E30" s="231">
        <v>21.612889512392126</v>
      </c>
      <c r="G30" s="231">
        <v>41.744718782490814</v>
      </c>
      <c r="H30" s="231">
        <v>39.434079518976489</v>
      </c>
      <c r="I30" s="231">
        <v>18.821201698532693</v>
      </c>
    </row>
    <row r="31" spans="1:82" x14ac:dyDescent="0.25">
      <c r="A31" s="197" t="s">
        <v>550</v>
      </c>
      <c r="B31" s="33" t="s">
        <v>534</v>
      </c>
      <c r="C31" s="231">
        <v>28.036241474091415</v>
      </c>
      <c r="D31" s="231">
        <v>50.391937290033596</v>
      </c>
      <c r="E31" s="231">
        <v>21.571821235874989</v>
      </c>
      <c r="F31" s="33"/>
      <c r="G31" s="231">
        <v>50.093408059781162</v>
      </c>
      <c r="H31" s="231">
        <v>31.554843875100079</v>
      </c>
      <c r="I31" s="231">
        <v>18.351748065118763</v>
      </c>
    </row>
    <row r="32" spans="1:82" x14ac:dyDescent="0.25">
      <c r="A32" s="197" t="s">
        <v>546</v>
      </c>
      <c r="B32" t="s">
        <v>627</v>
      </c>
      <c r="C32" s="16">
        <v>30.194205222969909</v>
      </c>
      <c r="D32" s="16">
        <v>49.018513998814548</v>
      </c>
      <c r="E32" s="16">
        <v>20.787280778215546</v>
      </c>
      <c r="G32" s="16">
        <v>43.027822518368161</v>
      </c>
      <c r="H32" s="16">
        <v>38.86878626745802</v>
      </c>
      <c r="I32" s="16">
        <v>18.103391214173818</v>
      </c>
    </row>
    <row r="33" spans="1:9" x14ac:dyDescent="0.25">
      <c r="A33" s="197" t="s">
        <v>545</v>
      </c>
      <c r="B33" t="s">
        <v>628</v>
      </c>
      <c r="C33" s="16">
        <v>37.797522008477344</v>
      </c>
      <c r="D33" s="16">
        <v>41.905771111835669</v>
      </c>
      <c r="E33" s="16">
        <v>20.29670687968699</v>
      </c>
      <c r="G33" s="16">
        <v>47.174171438225159</v>
      </c>
      <c r="H33" s="16">
        <v>37.108948406832432</v>
      </c>
      <c r="I33" s="16">
        <v>15.716880154942409</v>
      </c>
    </row>
    <row r="34" spans="1:9" x14ac:dyDescent="0.25">
      <c r="A34" s="197" t="s">
        <v>551</v>
      </c>
      <c r="B34" t="s">
        <v>535</v>
      </c>
      <c r="C34" s="16">
        <v>29.939275645196268</v>
      </c>
      <c r="D34" s="16">
        <v>50.206029060941226</v>
      </c>
      <c r="E34" s="16">
        <v>19.854695293862505</v>
      </c>
      <c r="G34" s="16">
        <v>53.627549515825201</v>
      </c>
      <c r="H34" s="16">
        <v>31.944402650473343</v>
      </c>
      <c r="I34" s="16">
        <v>14.428047833701454</v>
      </c>
    </row>
    <row r="35" spans="1:9" x14ac:dyDescent="0.25">
      <c r="A35" s="195" t="s">
        <v>543</v>
      </c>
      <c r="B35" t="s">
        <v>527</v>
      </c>
      <c r="C35" s="16">
        <v>35.269057618515276</v>
      </c>
      <c r="D35" s="16">
        <v>46.472489953772246</v>
      </c>
      <c r="E35" s="16">
        <v>18.258452427712481</v>
      </c>
      <c r="G35" s="16">
        <v>52.035082237943278</v>
      </c>
      <c r="H35" s="16">
        <v>35.19292999174273</v>
      </c>
      <c r="I35" s="16">
        <v>12.771987770314</v>
      </c>
    </row>
    <row r="36" spans="1:9" x14ac:dyDescent="0.25">
      <c r="A36" s="197" t="s">
        <v>555</v>
      </c>
      <c r="B36" t="s">
        <v>629</v>
      </c>
      <c r="C36" s="16">
        <v>39.003250270855908</v>
      </c>
      <c r="D36" s="16">
        <v>45.287107258938249</v>
      </c>
      <c r="E36" s="16">
        <v>15.70964247020585</v>
      </c>
      <c r="G36" s="16">
        <v>63.618893496510566</v>
      </c>
      <c r="H36" s="16">
        <v>24.102356629918074</v>
      </c>
      <c r="I36" s="16">
        <v>12.278749873571357</v>
      </c>
    </row>
    <row r="37" spans="1:9" x14ac:dyDescent="0.25">
      <c r="A37" s="247" t="s">
        <v>667</v>
      </c>
      <c r="B37" t="s">
        <v>630</v>
      </c>
      <c r="C37" s="16">
        <v>49.95174909529554</v>
      </c>
      <c r="D37" s="16">
        <v>39.722557297949336</v>
      </c>
      <c r="E37" s="16">
        <v>10.325693606755127</v>
      </c>
      <c r="G37" s="16">
        <v>69.088281956472059</v>
      </c>
      <c r="H37" s="16">
        <v>20.015897381437394</v>
      </c>
      <c r="I37" s="16">
        <v>10.895820662090539</v>
      </c>
    </row>
    <row r="38" spans="1:9" x14ac:dyDescent="0.25">
      <c r="A38" s="196" t="s">
        <v>544</v>
      </c>
      <c r="B38" t="s">
        <v>528</v>
      </c>
      <c r="C38" s="16">
        <v>48.08408982322026</v>
      </c>
      <c r="D38" s="16">
        <v>42.095875139353403</v>
      </c>
      <c r="E38" s="16">
        <v>9.8200350374263419</v>
      </c>
      <c r="G38" s="16">
        <v>72.713417274286002</v>
      </c>
      <c r="H38" s="16">
        <v>17.450943036768908</v>
      </c>
      <c r="I38" s="16">
        <v>9.835639688945081</v>
      </c>
    </row>
    <row r="39" spans="1:9" x14ac:dyDescent="0.25">
      <c r="A39" s="20" t="s">
        <v>547</v>
      </c>
      <c r="B39" t="s">
        <v>531</v>
      </c>
      <c r="C39" s="16">
        <v>55.662371309742966</v>
      </c>
      <c r="D39" s="16">
        <v>36.810527033476518</v>
      </c>
      <c r="E39" s="16">
        <v>7.5271016567805269</v>
      </c>
      <c r="G39" s="16">
        <v>81.485422820762153</v>
      </c>
      <c r="H39" s="16">
        <v>15.791791277544357</v>
      </c>
      <c r="I39" s="16">
        <v>2.7227859016934848</v>
      </c>
    </row>
    <row r="42" spans="1:9" x14ac:dyDescent="0.25">
      <c r="A42" s="28" t="s">
        <v>632</v>
      </c>
      <c r="B42" s="28"/>
    </row>
    <row r="43" spans="1:9" x14ac:dyDescent="0.25">
      <c r="A43" s="29" t="s">
        <v>668</v>
      </c>
      <c r="B43" s="29"/>
    </row>
  </sheetData>
  <mergeCells count="4">
    <mergeCell ref="C18:E18"/>
    <mergeCell ref="G18:I18"/>
    <mergeCell ref="C14:E14"/>
    <mergeCell ref="G14:I14"/>
  </mergeCells>
  <hyperlinks>
    <hyperlink ref="A5" location="Índice!A1" display="Índice/Contents" xr:uid="{6F089C0A-7F69-48AC-8B67-816681AAED24}"/>
  </hyperlinks>
  <pageMargins left="0.7" right="0.7" top="0.75" bottom="0.75" header="0.3" footer="0.3"/>
  <pageSetup paperSize="9" orientation="portrait" horizontalDpi="1200" verticalDpi="1200"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DCAC-78C1-4FF0-A7A7-0F6D9F39B249}">
  <sheetPr codeName="Sheet34">
    <tabColor theme="4" tint="-0.249977111117893"/>
  </sheetPr>
  <dimension ref="A5:BP41"/>
  <sheetViews>
    <sheetView showGridLines="0" showRowColHeaders="0" workbookViewId="0"/>
  </sheetViews>
  <sheetFormatPr defaultRowHeight="15" x14ac:dyDescent="0.25"/>
  <cols>
    <col min="1" max="1" width="31.140625" customWidth="1"/>
    <col min="2" max="2" width="30.5703125" customWidth="1"/>
    <col min="3" max="3" width="18.42578125" customWidth="1"/>
    <col min="4" max="6" width="17" customWidth="1"/>
  </cols>
  <sheetData>
    <row r="5" spans="1:68" ht="36" customHeight="1" x14ac:dyDescent="0.25">
      <c r="A5" s="10" t="s">
        <v>3</v>
      </c>
    </row>
    <row r="6" spans="1:68" ht="18.75" x14ac:dyDescent="0.25">
      <c r="A6" s="6" t="s">
        <v>179</v>
      </c>
    </row>
    <row r="7" spans="1:68" x14ac:dyDescent="0.25">
      <c r="A7" s="78" t="str">
        <f>+Índice!A95</f>
        <v>Parte II. Tema em Destaque: Caraterização dos trabalhadores estrangeiros por conta de outrem em Portugal / Part II Special Issue: Characterization of foreign employees in Portugal</v>
      </c>
    </row>
    <row r="8" spans="1:68" ht="18.75" x14ac:dyDescent="0.25">
      <c r="A8" s="6"/>
    </row>
    <row r="9" spans="1:68" x14ac:dyDescent="0.25">
      <c r="A9" s="219"/>
    </row>
    <row r="10" spans="1:68" x14ac:dyDescent="0.25">
      <c r="A10" s="219" t="s">
        <v>634</v>
      </c>
      <c r="D10" s="84"/>
      <c r="E10" s="84"/>
    </row>
    <row r="11" spans="1:68" x14ac:dyDescent="0.25">
      <c r="A11" s="86" t="s">
        <v>678</v>
      </c>
      <c r="B11" s="84"/>
      <c r="C11" s="84"/>
      <c r="D11" s="84"/>
      <c r="E11" s="84"/>
      <c r="F11" s="84"/>
      <c r="G11" s="84"/>
      <c r="H11" s="84"/>
      <c r="I11" s="84"/>
      <c r="J11" s="84"/>
    </row>
    <row r="13" spans="1:68" ht="39" x14ac:dyDescent="0.25">
      <c r="A13" s="321" t="s">
        <v>2</v>
      </c>
      <c r="C13" s="320" t="s">
        <v>1226</v>
      </c>
      <c r="D13" s="319" t="s">
        <v>4</v>
      </c>
      <c r="E13" s="319" t="s">
        <v>4</v>
      </c>
      <c r="F13" s="319" t="s">
        <v>4</v>
      </c>
    </row>
    <row r="15" spans="1:68" x14ac:dyDescent="0.25">
      <c r="A15" s="9"/>
      <c r="C15" s="249" t="s">
        <v>66</v>
      </c>
      <c r="D15" s="249" t="s">
        <v>647</v>
      </c>
      <c r="E15" s="249" t="s">
        <v>90</v>
      </c>
      <c r="F15" s="249" t="s">
        <v>91</v>
      </c>
    </row>
    <row r="16" spans="1:68" ht="14.25" customHeight="1" x14ac:dyDescent="0.25">
      <c r="A16" s="44"/>
      <c r="B16" s="33"/>
      <c r="C16" s="248"/>
      <c r="D16" s="248"/>
      <c r="E16" s="248"/>
      <c r="F16" s="17"/>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row>
    <row r="17" spans="1:8" ht="23.25" customHeight="1" x14ac:dyDescent="0.25">
      <c r="B17" s="232"/>
      <c r="C17" s="233" t="s">
        <v>66</v>
      </c>
      <c r="D17" s="234" t="s">
        <v>605</v>
      </c>
      <c r="E17" s="235" t="s">
        <v>88</v>
      </c>
      <c r="F17" s="235" t="s">
        <v>89</v>
      </c>
    </row>
    <row r="18" spans="1:8" ht="16.5" customHeight="1" x14ac:dyDescent="0.25">
      <c r="A18" s="20" t="s">
        <v>66</v>
      </c>
      <c r="B18" s="236" t="s">
        <v>66</v>
      </c>
      <c r="C18" s="237">
        <v>264339</v>
      </c>
      <c r="D18" s="238">
        <v>33.118079435875899</v>
      </c>
      <c r="E18" s="238">
        <v>40.547176163941003</v>
      </c>
      <c r="F18" s="238">
        <v>26.334744400183098</v>
      </c>
    </row>
    <row r="19" spans="1:8" ht="9" customHeight="1" x14ac:dyDescent="0.25">
      <c r="A19" s="44"/>
      <c r="B19" s="236"/>
      <c r="C19" s="237"/>
      <c r="D19" s="238"/>
      <c r="E19" s="238"/>
      <c r="F19" s="238"/>
    </row>
    <row r="20" spans="1:8" x14ac:dyDescent="0.25">
      <c r="A20" s="250" t="s">
        <v>224</v>
      </c>
      <c r="B20" s="239" t="s">
        <v>222</v>
      </c>
      <c r="C20" s="237">
        <v>107638</v>
      </c>
      <c r="D20" s="238">
        <v>27.139114439138595</v>
      </c>
      <c r="E20" s="238">
        <v>47.541760344859625</v>
      </c>
      <c r="F20" s="238">
        <v>25.31912521600178</v>
      </c>
      <c r="H20" s="204"/>
    </row>
    <row r="21" spans="1:8" x14ac:dyDescent="0.25">
      <c r="A21" s="250" t="s">
        <v>225</v>
      </c>
      <c r="B21" s="239" t="s">
        <v>219</v>
      </c>
      <c r="C21" s="237">
        <v>12869</v>
      </c>
      <c r="D21" s="238">
        <v>57.790038075996584</v>
      </c>
      <c r="E21" s="238">
        <v>33.677830445256042</v>
      </c>
      <c r="F21" s="238">
        <v>8.5321314787473774</v>
      </c>
      <c r="H21" s="204"/>
    </row>
    <row r="22" spans="1:8" x14ac:dyDescent="0.25">
      <c r="A22" s="250" t="s">
        <v>670</v>
      </c>
      <c r="B22" s="239" t="s">
        <v>635</v>
      </c>
      <c r="C22" s="237">
        <v>12627</v>
      </c>
      <c r="D22" s="238">
        <v>29.547794408806528</v>
      </c>
      <c r="E22" s="238">
        <v>48.435891343945514</v>
      </c>
      <c r="F22" s="238">
        <v>22.016314247247962</v>
      </c>
      <c r="H22" s="204"/>
    </row>
    <row r="23" spans="1:8" x14ac:dyDescent="0.25">
      <c r="A23" s="250" t="s">
        <v>636</v>
      </c>
      <c r="B23" s="239" t="s">
        <v>636</v>
      </c>
      <c r="C23" s="237">
        <v>11746</v>
      </c>
      <c r="D23" s="238">
        <v>38.40456325557637</v>
      </c>
      <c r="E23" s="238">
        <v>38.34496849991487</v>
      </c>
      <c r="F23" s="238">
        <v>23.250468244508767</v>
      </c>
      <c r="H23" s="204"/>
    </row>
    <row r="24" spans="1:8" x14ac:dyDescent="0.25">
      <c r="A24" s="250" t="s">
        <v>223</v>
      </c>
      <c r="B24" s="239" t="s">
        <v>220</v>
      </c>
      <c r="C24" s="240">
        <v>9350</v>
      </c>
      <c r="D24" s="238">
        <v>46.213903743315512</v>
      </c>
      <c r="E24" s="238">
        <v>41.315508021390372</v>
      </c>
      <c r="F24" s="238">
        <v>12.470588235294118</v>
      </c>
      <c r="H24" s="204"/>
    </row>
    <row r="25" spans="1:8" x14ac:dyDescent="0.25">
      <c r="A25" s="250" t="s">
        <v>637</v>
      </c>
      <c r="B25" s="239" t="s">
        <v>637</v>
      </c>
      <c r="C25" s="240">
        <v>8711</v>
      </c>
      <c r="D25" s="238">
        <v>65.939616576742054</v>
      </c>
      <c r="E25" s="238">
        <v>25.794971874641259</v>
      </c>
      <c r="F25" s="238">
        <v>8.2654115486166919</v>
      </c>
      <c r="H25" s="204"/>
    </row>
    <row r="26" spans="1:8" x14ac:dyDescent="0.25">
      <c r="A26" s="250" t="s">
        <v>671</v>
      </c>
      <c r="B26" s="239" t="s">
        <v>638</v>
      </c>
      <c r="C26" s="240">
        <v>8608</v>
      </c>
      <c r="D26" s="238">
        <v>44.783921933085502</v>
      </c>
      <c r="E26" s="238">
        <v>44.110130111524164</v>
      </c>
      <c r="F26" s="238">
        <v>11.105947955390334</v>
      </c>
    </row>
    <row r="27" spans="1:8" x14ac:dyDescent="0.25">
      <c r="A27" s="250" t="s">
        <v>221</v>
      </c>
      <c r="B27" s="239" t="s">
        <v>221</v>
      </c>
      <c r="C27" s="240">
        <v>8312</v>
      </c>
      <c r="D27" s="238">
        <v>43.996631376323386</v>
      </c>
      <c r="E27" s="238">
        <v>43.635707410972088</v>
      </c>
      <c r="F27" s="238">
        <v>12.367661212704524</v>
      </c>
    </row>
    <row r="28" spans="1:8" x14ac:dyDescent="0.25">
      <c r="A28" s="250" t="s">
        <v>639</v>
      </c>
      <c r="B28" s="239" t="s">
        <v>639</v>
      </c>
      <c r="C28" s="240">
        <v>6656</v>
      </c>
      <c r="D28" s="238">
        <v>50.57091346153846</v>
      </c>
      <c r="E28" s="238">
        <v>37.5</v>
      </c>
      <c r="F28" s="238">
        <v>11.929086538461538</v>
      </c>
    </row>
    <row r="29" spans="1:8" x14ac:dyDescent="0.25">
      <c r="A29" s="250" t="s">
        <v>672</v>
      </c>
      <c r="B29" s="239" t="s">
        <v>640</v>
      </c>
      <c r="C29" s="240">
        <v>6266</v>
      </c>
      <c r="D29" s="238">
        <v>14.889881902330036</v>
      </c>
      <c r="E29" s="238">
        <v>22.42259814873923</v>
      </c>
      <c r="F29" s="238">
        <v>62.687519948930735</v>
      </c>
    </row>
    <row r="30" spans="1:8" x14ac:dyDescent="0.25">
      <c r="A30" s="250" t="s">
        <v>673</v>
      </c>
      <c r="B30" s="239" t="s">
        <v>641</v>
      </c>
      <c r="C30" s="240">
        <v>5971</v>
      </c>
      <c r="D30" s="238">
        <v>11.807067492882265</v>
      </c>
      <c r="E30" s="238">
        <v>25.506615307318707</v>
      </c>
      <c r="F30" s="238">
        <v>62.686317199799021</v>
      </c>
    </row>
    <row r="31" spans="1:8" x14ac:dyDescent="0.25">
      <c r="A31" s="250" t="s">
        <v>674</v>
      </c>
      <c r="B31" s="239" t="s">
        <v>642</v>
      </c>
      <c r="C31" s="240">
        <v>5922</v>
      </c>
      <c r="D31" s="238">
        <v>21.850726106045254</v>
      </c>
      <c r="E31" s="238">
        <v>28.740290442418104</v>
      </c>
      <c r="F31" s="238">
        <v>49.408983451536642</v>
      </c>
    </row>
    <row r="32" spans="1:8" x14ac:dyDescent="0.25">
      <c r="A32" s="250" t="s">
        <v>675</v>
      </c>
      <c r="B32" s="239" t="s">
        <v>643</v>
      </c>
      <c r="C32" s="240">
        <v>5918</v>
      </c>
      <c r="D32" s="238">
        <v>17.894558972625887</v>
      </c>
      <c r="E32" s="238">
        <v>34.825954714430551</v>
      </c>
      <c r="F32" s="238">
        <v>47.279486312943561</v>
      </c>
    </row>
    <row r="33" spans="1:6" x14ac:dyDescent="0.25">
      <c r="A33" s="250" t="s">
        <v>218</v>
      </c>
      <c r="B33" s="239" t="s">
        <v>218</v>
      </c>
      <c r="C33" s="240">
        <v>5347</v>
      </c>
      <c r="D33" s="238">
        <v>44.024686740228162</v>
      </c>
      <c r="E33" s="238">
        <v>35.664858799326723</v>
      </c>
      <c r="F33" s="238">
        <v>20.310454460445111</v>
      </c>
    </row>
    <row r="34" spans="1:6" ht="6.75" customHeight="1" x14ac:dyDescent="0.25">
      <c r="A34" s="250"/>
      <c r="B34" s="239"/>
      <c r="C34" s="241"/>
      <c r="D34" s="242"/>
      <c r="E34" s="242"/>
      <c r="F34" s="242"/>
    </row>
    <row r="35" spans="1:6" x14ac:dyDescent="0.25">
      <c r="A35" s="250" t="s">
        <v>676</v>
      </c>
      <c r="B35" s="239" t="s">
        <v>644</v>
      </c>
      <c r="C35" s="241">
        <v>18341</v>
      </c>
      <c r="D35" s="243">
        <v>16.402116402116402</v>
      </c>
      <c r="E35" s="243">
        <v>32.627865961199291</v>
      </c>
      <c r="F35" s="243">
        <v>50.970017636684304</v>
      </c>
    </row>
    <row r="36" spans="1:6" x14ac:dyDescent="0.25">
      <c r="A36" s="250" t="s">
        <v>677</v>
      </c>
      <c r="B36" s="244" t="s">
        <v>645</v>
      </c>
      <c r="C36" s="245">
        <v>30057</v>
      </c>
      <c r="D36" s="246">
        <v>37.289150613833719</v>
      </c>
      <c r="E36" s="246">
        <v>33.799115014805203</v>
      </c>
      <c r="F36" s="246">
        <v>28.911734371361081</v>
      </c>
    </row>
    <row r="37" spans="1:6" x14ac:dyDescent="0.25">
      <c r="C37" s="16"/>
      <c r="D37" s="16"/>
      <c r="E37" s="16"/>
    </row>
    <row r="40" spans="1:6" x14ac:dyDescent="0.25">
      <c r="A40" s="28" t="s">
        <v>1651</v>
      </c>
    </row>
    <row r="41" spans="1:6" x14ac:dyDescent="0.25">
      <c r="A41" s="29" t="s">
        <v>669</v>
      </c>
    </row>
  </sheetData>
  <hyperlinks>
    <hyperlink ref="A5" location="Índice!A1" display="Índice/Contents" xr:uid="{A9B822FB-A74C-4C53-94AB-D6F835C96804}"/>
  </hyperlinks>
  <pageMargins left="0.7" right="0.7" top="0.75" bottom="0.75" header="0.3" footer="0.3"/>
  <pageSetup paperSize="9" orientation="portrait" horizontalDpi="1200" verticalDpi="1200"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40EA-8208-4901-BE1C-C2B08FF1C3F8}">
  <sheetPr codeName="Sheet35">
    <tabColor theme="5" tint="0.89999084444715716"/>
  </sheetPr>
  <dimension ref="A5:AA35"/>
  <sheetViews>
    <sheetView showGridLines="0" showRowColHeaders="0" workbookViewId="0">
      <selection activeCell="B14" sqref="B14"/>
    </sheetView>
  </sheetViews>
  <sheetFormatPr defaultRowHeight="15" x14ac:dyDescent="0.25"/>
  <cols>
    <col min="1" max="1" width="61.140625" customWidth="1"/>
    <col min="2" max="2" width="40.42578125" customWidth="1"/>
    <col min="3" max="3" width="42.140625" customWidth="1"/>
    <col min="4" max="27" width="7.140625" customWidth="1"/>
  </cols>
  <sheetData>
    <row r="5" spans="1:27" ht="36" customHeight="1" x14ac:dyDescent="0.25">
      <c r="A5" s="10" t="s">
        <v>3</v>
      </c>
    </row>
    <row r="6" spans="1:27" ht="18.75" x14ac:dyDescent="0.25">
      <c r="A6" s="6" t="s">
        <v>179</v>
      </c>
    </row>
    <row r="7" spans="1:27" x14ac:dyDescent="0.25">
      <c r="A7" s="78" t="str">
        <f>+Índice!A136</f>
        <v>Parte III. Políticas em análise: Juros e gestão da dívida pública em Portugal/Policy insights: Interest expenditure and public debt management in Portugal</v>
      </c>
    </row>
    <row r="8" spans="1:27" ht="18.75" x14ac:dyDescent="0.25">
      <c r="A8" s="6"/>
    </row>
    <row r="9" spans="1:27" x14ac:dyDescent="0.25">
      <c r="A9" s="7"/>
    </row>
    <row r="10" spans="1:27" x14ac:dyDescent="0.25">
      <c r="A10" t="s">
        <v>957</v>
      </c>
    </row>
    <row r="11" spans="1:27" x14ac:dyDescent="0.25">
      <c r="A11" s="8" t="s">
        <v>1026</v>
      </c>
    </row>
    <row r="12" spans="1:27" x14ac:dyDescent="0.25">
      <c r="A12" s="8"/>
    </row>
    <row r="13" spans="1:27" x14ac:dyDescent="0.25">
      <c r="C13" s="9" t="s">
        <v>2</v>
      </c>
      <c r="D13" s="417"/>
      <c r="E13" s="417"/>
      <c r="F13" s="417"/>
      <c r="G13" s="417"/>
    </row>
    <row r="14" spans="1:27" x14ac:dyDescent="0.25">
      <c r="A14" s="8"/>
      <c r="D14" s="83"/>
      <c r="E14" s="83"/>
      <c r="F14" s="83"/>
      <c r="G14" s="83"/>
    </row>
    <row r="15" spans="1:27" x14ac:dyDescent="0.25">
      <c r="A15" s="8"/>
      <c r="D15" s="117">
        <v>2000</v>
      </c>
      <c r="E15" s="117">
        <f>+D15+1</f>
        <v>2001</v>
      </c>
      <c r="F15" s="117">
        <f t="shared" ref="F15:AA15" si="0">+E15+1</f>
        <v>2002</v>
      </c>
      <c r="G15" s="117">
        <f t="shared" si="0"/>
        <v>2003</v>
      </c>
      <c r="H15" s="117">
        <f t="shared" si="0"/>
        <v>2004</v>
      </c>
      <c r="I15" s="117">
        <f t="shared" si="0"/>
        <v>2005</v>
      </c>
      <c r="J15" s="117">
        <f t="shared" si="0"/>
        <v>2006</v>
      </c>
      <c r="K15" s="117">
        <f t="shared" si="0"/>
        <v>2007</v>
      </c>
      <c r="L15" s="117">
        <f t="shared" si="0"/>
        <v>2008</v>
      </c>
      <c r="M15" s="117">
        <f t="shared" si="0"/>
        <v>2009</v>
      </c>
      <c r="N15" s="117">
        <f t="shared" si="0"/>
        <v>2010</v>
      </c>
      <c r="O15" s="117">
        <f t="shared" si="0"/>
        <v>2011</v>
      </c>
      <c r="P15" s="117">
        <f t="shared" si="0"/>
        <v>2012</v>
      </c>
      <c r="Q15" s="117">
        <f t="shared" si="0"/>
        <v>2013</v>
      </c>
      <c r="R15" s="117">
        <f t="shared" si="0"/>
        <v>2014</v>
      </c>
      <c r="S15" s="117">
        <f t="shared" si="0"/>
        <v>2015</v>
      </c>
      <c r="T15" s="117">
        <f t="shared" si="0"/>
        <v>2016</v>
      </c>
      <c r="U15" s="117">
        <f t="shared" si="0"/>
        <v>2017</v>
      </c>
      <c r="V15" s="117">
        <f t="shared" si="0"/>
        <v>2018</v>
      </c>
      <c r="W15" s="117">
        <f t="shared" si="0"/>
        <v>2019</v>
      </c>
      <c r="X15" s="117">
        <f t="shared" si="0"/>
        <v>2020</v>
      </c>
      <c r="Y15" s="117">
        <f t="shared" si="0"/>
        <v>2021</v>
      </c>
      <c r="Z15" s="117">
        <f t="shared" si="0"/>
        <v>2022</v>
      </c>
      <c r="AA15" s="117">
        <f t="shared" si="0"/>
        <v>2023</v>
      </c>
    </row>
    <row r="16" spans="1:27" x14ac:dyDescent="0.25">
      <c r="A16" s="24" t="s">
        <v>960</v>
      </c>
      <c r="B16" s="23" t="s">
        <v>960</v>
      </c>
      <c r="C16" s="23" t="s">
        <v>1219</v>
      </c>
      <c r="D16" s="302">
        <v>3.0090862084003041</v>
      </c>
      <c r="E16" s="302">
        <v>2.9905358129257964</v>
      </c>
      <c r="F16" s="302">
        <v>2.8377958434084416</v>
      </c>
      <c r="G16" s="302">
        <v>2.6596534899180453</v>
      </c>
      <c r="H16" s="16">
        <v>2.5676460310912956</v>
      </c>
      <c r="I16" s="16">
        <v>2.5677897632774465</v>
      </c>
      <c r="J16" s="16">
        <v>2.7826212479813304</v>
      </c>
      <c r="K16" s="16">
        <v>2.966947300998271</v>
      </c>
      <c r="L16" s="16">
        <v>3.1197725552029341</v>
      </c>
      <c r="M16" s="16">
        <v>2.9868929016899219</v>
      </c>
      <c r="N16" s="16">
        <v>2.9411371699251938</v>
      </c>
      <c r="O16" s="16">
        <v>4.3211040329092842</v>
      </c>
      <c r="P16" s="16">
        <v>4.8741618913388107</v>
      </c>
      <c r="Q16" s="16">
        <v>4.830716695123475</v>
      </c>
      <c r="R16" s="16">
        <v>4.8797569771695137</v>
      </c>
      <c r="S16" s="16">
        <v>4.5846938343983625</v>
      </c>
      <c r="T16" s="16">
        <v>4.1497711939205253</v>
      </c>
      <c r="U16" s="16">
        <v>3.7759661786440426</v>
      </c>
      <c r="V16" s="16">
        <v>3.3640520878567099</v>
      </c>
      <c r="W16" s="16">
        <v>2.9500696444448176</v>
      </c>
      <c r="X16" s="16">
        <v>2.885962370629402</v>
      </c>
      <c r="Y16" s="16">
        <v>2.4026026922998591</v>
      </c>
      <c r="Z16" s="16">
        <v>1.9246449627961946</v>
      </c>
      <c r="AA16" s="16">
        <v>2.1663032056134961</v>
      </c>
    </row>
    <row r="17" spans="1:27" x14ac:dyDescent="0.25">
      <c r="A17" s="24" t="s">
        <v>961</v>
      </c>
      <c r="B17" s="23" t="s">
        <v>962</v>
      </c>
      <c r="C17" s="23" t="s">
        <v>1219</v>
      </c>
      <c r="D17" s="302">
        <v>3.823414487633265</v>
      </c>
      <c r="E17" s="302">
        <v>3.7111929149627119</v>
      </c>
      <c r="F17" s="302">
        <v>3.4650093672414615</v>
      </c>
      <c r="G17" s="302">
        <v>3.2333471676345349</v>
      </c>
      <c r="H17" s="16">
        <v>3.0457549778655961</v>
      </c>
      <c r="I17" s="16">
        <v>2.9355909157804128</v>
      </c>
      <c r="J17" s="16">
        <v>2.8339729403838665</v>
      </c>
      <c r="K17" s="16">
        <v>2.8779210153977819</v>
      </c>
      <c r="L17" s="16">
        <v>2.9493096549619824</v>
      </c>
      <c r="M17" s="16">
        <v>2.8331766720288005</v>
      </c>
      <c r="N17" s="16">
        <v>2.7806164987873832</v>
      </c>
      <c r="O17" s="16">
        <v>3.0127967364066595</v>
      </c>
      <c r="P17" s="16">
        <v>3.0415425199302315</v>
      </c>
      <c r="Q17" s="16">
        <v>2.7922231581257733</v>
      </c>
      <c r="R17" s="16">
        <v>2.621718707009848</v>
      </c>
      <c r="S17" s="16">
        <v>2.3310138690360667</v>
      </c>
      <c r="T17" s="16">
        <v>2.1285705085751037</v>
      </c>
      <c r="U17" s="16">
        <v>1.9541728500822899</v>
      </c>
      <c r="V17" s="16">
        <v>1.8438071641039031</v>
      </c>
      <c r="W17" s="16">
        <v>1.6388902915514352</v>
      </c>
      <c r="X17" s="16">
        <v>1.5075597804078531</v>
      </c>
      <c r="Y17" s="16">
        <v>1.4549688578559219</v>
      </c>
      <c r="Z17" s="16">
        <v>1.6943023715889258</v>
      </c>
      <c r="AA17" s="16">
        <v>1.7257702526043606</v>
      </c>
    </row>
    <row r="18" spans="1:27" x14ac:dyDescent="0.25">
      <c r="A18" s="24" t="s">
        <v>963</v>
      </c>
      <c r="B18" s="23" t="s">
        <v>965</v>
      </c>
      <c r="C18" s="23" t="s">
        <v>1219</v>
      </c>
      <c r="D18" s="302">
        <v>0.28517726359452983</v>
      </c>
      <c r="E18" s="302">
        <v>0.2204061770977945</v>
      </c>
      <c r="F18" s="302">
        <v>0.25950451256615448</v>
      </c>
      <c r="G18" s="302">
        <v>0.2298613970083711</v>
      </c>
      <c r="H18" s="16">
        <v>0.18624021795426648</v>
      </c>
      <c r="I18" s="16">
        <v>0.18865762167975811</v>
      </c>
      <c r="J18" s="16">
        <v>0.16582036863710398</v>
      </c>
      <c r="K18" s="16">
        <v>0.16401138934108883</v>
      </c>
      <c r="L18" s="16">
        <v>0.20640145383647948</v>
      </c>
      <c r="M18" s="16">
        <v>0.18539616045966925</v>
      </c>
      <c r="N18" s="16">
        <v>8.8188805448711424E-2</v>
      </c>
      <c r="O18" s="16">
        <v>9.2940703830955859E-2</v>
      </c>
      <c r="P18" s="16">
        <v>0.10716259132541148</v>
      </c>
      <c r="Q18" s="16">
        <v>7.4031770205385289E-2</v>
      </c>
      <c r="R18" s="16">
        <v>6.7836514001256967E-2</v>
      </c>
      <c r="S18" s="16">
        <v>5.6224977461539205E-2</v>
      </c>
      <c r="T18" s="16">
        <v>3.4026273801148615E-2</v>
      </c>
      <c r="U18" s="16">
        <v>3.2726906552094523E-2</v>
      </c>
      <c r="V18" s="16">
        <v>3.2392161097014524E-2</v>
      </c>
      <c r="W18" s="16">
        <v>2.7190440413580909E-2</v>
      </c>
      <c r="X18" s="16">
        <v>7.6193948231862929E-2</v>
      </c>
      <c r="Y18" s="16">
        <v>6.609130867207802E-2</v>
      </c>
      <c r="Z18" s="16">
        <v>7.8864572312425898E-2</v>
      </c>
      <c r="AA18" s="16">
        <v>0.30223327314726084</v>
      </c>
    </row>
    <row r="19" spans="1:27" x14ac:dyDescent="0.25">
      <c r="A19" s="24" t="s">
        <v>964</v>
      </c>
      <c r="B19" s="23" t="s">
        <v>966</v>
      </c>
      <c r="C19" s="23" t="s">
        <v>1219</v>
      </c>
      <c r="D19" s="302">
        <v>6.852548679498657</v>
      </c>
      <c r="E19" s="302">
        <v>6.5714742926492109</v>
      </c>
      <c r="F19" s="302">
        <v>5.8391785868118484</v>
      </c>
      <c r="G19" s="302">
        <v>5.4167102299358252</v>
      </c>
      <c r="H19" s="16">
        <v>4.8579322733632573</v>
      </c>
      <c r="I19" s="16">
        <v>4.6942842960556073</v>
      </c>
      <c r="J19" s="16">
        <v>4.4361812053789595</v>
      </c>
      <c r="K19" s="16">
        <v>4.747901308848097</v>
      </c>
      <c r="L19" s="16">
        <v>4.9115240562462201</v>
      </c>
      <c r="M19" s="16">
        <v>5.0401163285118518</v>
      </c>
      <c r="N19" s="16">
        <v>6.094394174653317</v>
      </c>
      <c r="O19" s="16">
        <v>7.6725877264173308</v>
      </c>
      <c r="P19" s="16">
        <v>5.3487461023056513</v>
      </c>
      <c r="Q19" s="16">
        <v>4.830716695123475</v>
      </c>
      <c r="R19" s="16">
        <v>4.8797569771695137</v>
      </c>
      <c r="S19" s="16">
        <v>4.5846938343983625</v>
      </c>
      <c r="T19" s="16">
        <v>4.1497711939205253</v>
      </c>
      <c r="U19" s="16">
        <v>3.7759661786440426</v>
      </c>
      <c r="V19" s="16">
        <v>3.6466253191277005</v>
      </c>
      <c r="W19" s="16">
        <v>3.3618150684454973</v>
      </c>
      <c r="X19" s="16">
        <v>3.4497728744519605</v>
      </c>
      <c r="Y19" s="16">
        <v>3.49595424555854</v>
      </c>
      <c r="Z19" s="16">
        <v>4.222338810313067</v>
      </c>
      <c r="AA19" s="16">
        <v>3.7696326743249511</v>
      </c>
    </row>
    <row r="20" spans="1:27" x14ac:dyDescent="0.25">
      <c r="A20" s="23"/>
      <c r="B20" s="24"/>
      <c r="C20" s="24"/>
      <c r="D20" s="84"/>
      <c r="E20" s="84"/>
      <c r="F20" s="84"/>
      <c r="G20" s="84"/>
      <c r="H20" s="84"/>
      <c r="I20" s="84"/>
      <c r="J20" s="84"/>
      <c r="K20" s="84"/>
      <c r="L20" s="84"/>
      <c r="M20" s="84"/>
      <c r="N20" s="84"/>
      <c r="O20" s="84"/>
      <c r="P20" s="84"/>
      <c r="Q20" s="84"/>
      <c r="R20" s="84"/>
      <c r="S20" s="84"/>
      <c r="T20" s="84"/>
      <c r="U20" s="84"/>
      <c r="V20" s="84"/>
      <c r="W20" s="84"/>
      <c r="X20" s="84"/>
      <c r="Y20" s="84"/>
      <c r="Z20" s="84"/>
      <c r="AA20" s="84"/>
    </row>
    <row r="21" spans="1:27" x14ac:dyDescent="0.25">
      <c r="A21" s="23"/>
      <c r="B21" s="24"/>
      <c r="C21" s="24"/>
      <c r="D21" s="85"/>
      <c r="E21" s="85"/>
      <c r="F21" s="85"/>
      <c r="G21" s="85"/>
      <c r="H21" s="17"/>
      <c r="I21" s="17"/>
      <c r="J21" s="17"/>
      <c r="K21" s="17"/>
    </row>
    <row r="22" spans="1:27" x14ac:dyDescent="0.25">
      <c r="A22" s="25"/>
      <c r="B22" s="26"/>
      <c r="C22" s="26"/>
      <c r="D22" s="27"/>
      <c r="E22" s="27"/>
      <c r="F22" s="27"/>
      <c r="G22" s="27"/>
      <c r="H22" s="27"/>
      <c r="I22" s="27"/>
      <c r="J22" s="27"/>
      <c r="K22" s="27"/>
      <c r="L22" s="16"/>
      <c r="M22" s="16"/>
      <c r="N22" s="16"/>
    </row>
    <row r="23" spans="1:27" x14ac:dyDescent="0.25">
      <c r="A23" s="28" t="s">
        <v>958</v>
      </c>
      <c r="B23" s="25"/>
      <c r="C23" s="25"/>
      <c r="D23" s="19"/>
      <c r="E23" s="19"/>
      <c r="F23" s="19"/>
      <c r="G23" s="19"/>
      <c r="H23" s="19"/>
      <c r="I23" s="19"/>
      <c r="J23" s="19"/>
      <c r="K23" s="19"/>
    </row>
    <row r="24" spans="1:27" x14ac:dyDescent="0.25">
      <c r="A24" s="29" t="s">
        <v>959</v>
      </c>
      <c r="B24" s="25"/>
      <c r="C24" s="25"/>
      <c r="D24" s="19"/>
      <c r="E24" s="19"/>
      <c r="F24" s="19"/>
      <c r="G24" s="19"/>
      <c r="H24" s="19"/>
      <c r="I24" s="19"/>
      <c r="J24" s="19"/>
      <c r="K24" s="19"/>
      <c r="L24" s="16"/>
      <c r="M24" s="16"/>
      <c r="N24" s="16"/>
    </row>
    <row r="25" spans="1:27" x14ac:dyDescent="0.25">
      <c r="A25" s="15"/>
      <c r="B25" s="13"/>
      <c r="C25" s="13"/>
      <c r="F25" s="16"/>
      <c r="G25" s="16"/>
      <c r="H25" s="16"/>
      <c r="I25" s="16"/>
      <c r="K25" s="16"/>
      <c r="L25" s="16"/>
      <c r="M25" s="16"/>
      <c r="N25" s="16"/>
    </row>
    <row r="26" spans="1:27" x14ac:dyDescent="0.25">
      <c r="A26" s="11"/>
      <c r="B26" s="12"/>
      <c r="C26" s="12"/>
    </row>
    <row r="27" spans="1:27" x14ac:dyDescent="0.25">
      <c r="A27" s="11"/>
      <c r="B27" s="12"/>
      <c r="C27" s="12"/>
      <c r="F27" s="16"/>
      <c r="G27" s="16"/>
      <c r="H27" s="16"/>
      <c r="I27" s="16"/>
      <c r="K27" s="16"/>
      <c r="L27" s="16"/>
      <c r="M27" s="16"/>
      <c r="N27" s="16"/>
    </row>
    <row r="28" spans="1:27" x14ac:dyDescent="0.25">
      <c r="A28" s="11"/>
      <c r="B28" s="12"/>
      <c r="C28" s="12"/>
      <c r="F28" s="16"/>
      <c r="G28" s="16"/>
      <c r="H28" s="16"/>
      <c r="I28" s="16"/>
      <c r="K28" s="16"/>
      <c r="L28" s="16"/>
      <c r="M28" s="16"/>
      <c r="N28" s="16"/>
    </row>
    <row r="29" spans="1:27" x14ac:dyDescent="0.25">
      <c r="A29" s="11"/>
      <c r="B29" s="12"/>
      <c r="C29" s="12"/>
      <c r="F29" s="16"/>
      <c r="G29" s="16"/>
      <c r="H29" s="16"/>
      <c r="I29" s="16"/>
      <c r="K29" s="16"/>
      <c r="L29" s="16"/>
      <c r="M29" s="16"/>
      <c r="N29" s="16"/>
    </row>
    <row r="30" spans="1:27" x14ac:dyDescent="0.25">
      <c r="A30" s="11"/>
      <c r="B30" s="12"/>
      <c r="C30" s="12"/>
    </row>
    <row r="31" spans="1:27" x14ac:dyDescent="0.25">
      <c r="A31" s="11"/>
      <c r="B31" s="8"/>
      <c r="C31" s="8"/>
      <c r="F31" s="16"/>
      <c r="G31" s="16"/>
      <c r="H31" s="16"/>
      <c r="I31" s="16"/>
      <c r="K31" s="16"/>
      <c r="L31" s="16"/>
      <c r="M31" s="16"/>
      <c r="N31" s="16"/>
    </row>
    <row r="32" spans="1:27" x14ac:dyDescent="0.25">
      <c r="A32" s="11"/>
      <c r="B32" s="12"/>
      <c r="C32" s="12"/>
      <c r="F32" s="16"/>
      <c r="G32" s="16"/>
      <c r="H32" s="16"/>
      <c r="I32" s="16"/>
      <c r="K32" s="16"/>
      <c r="L32" s="16"/>
      <c r="M32" s="16"/>
      <c r="N32" s="16"/>
    </row>
    <row r="35" spans="1:1" x14ac:dyDescent="0.25">
      <c r="A35" s="8"/>
    </row>
  </sheetData>
  <mergeCells count="2">
    <mergeCell ref="D13:E13"/>
    <mergeCell ref="F13:G13"/>
  </mergeCells>
  <hyperlinks>
    <hyperlink ref="A5" location="Índice!A1" display="Índice/Contents" xr:uid="{4B174DC4-6DC7-4E17-808B-922DAA325EE5}"/>
  </hyperlinks>
  <pageMargins left="0.7" right="0.7" top="0.75" bottom="0.75" header="0.3" footer="0.3"/>
  <pageSetup paperSize="9" orientation="portrait" horizontalDpi="1200" verticalDpi="1200"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2B77D-7D5A-4709-B195-06DAF9FECBEC}">
  <sheetPr codeName="Sheet55">
    <tabColor theme="5" tint="0.89999084444715716"/>
  </sheetPr>
  <dimension ref="A5:Z32"/>
  <sheetViews>
    <sheetView showGridLines="0" showRowColHeaders="0" topLeftCell="A5" workbookViewId="0">
      <selection activeCell="A12" sqref="A12"/>
    </sheetView>
  </sheetViews>
  <sheetFormatPr defaultRowHeight="15" x14ac:dyDescent="0.25"/>
  <cols>
    <col min="1" max="1" width="61.140625" customWidth="1"/>
    <col min="2" max="2" width="42.5703125" customWidth="1"/>
    <col min="3" max="26" width="8.42578125" customWidth="1"/>
  </cols>
  <sheetData>
    <row r="5" spans="1:26" ht="36" customHeight="1" x14ac:dyDescent="0.25">
      <c r="A5" s="10" t="s">
        <v>3</v>
      </c>
    </row>
    <row r="6" spans="1:26" ht="18.75" x14ac:dyDescent="0.25">
      <c r="A6" s="6" t="s">
        <v>179</v>
      </c>
    </row>
    <row r="7" spans="1:26" x14ac:dyDescent="0.25">
      <c r="A7" s="78" t="str">
        <f>+Índice!A136</f>
        <v>Parte III. Políticas em análise: Juros e gestão da dívida pública em Portugal/Policy insights: Interest expenditure and public debt management in Portugal</v>
      </c>
    </row>
    <row r="8" spans="1:26" ht="18.75" x14ac:dyDescent="0.25">
      <c r="A8" s="6"/>
    </row>
    <row r="9" spans="1:26" x14ac:dyDescent="0.25">
      <c r="A9" s="7"/>
    </row>
    <row r="10" spans="1:26" x14ac:dyDescent="0.25">
      <c r="A10" t="s">
        <v>967</v>
      </c>
    </row>
    <row r="11" spans="1:26" x14ac:dyDescent="0.25">
      <c r="A11" s="8" t="s">
        <v>1558</v>
      </c>
    </row>
    <row r="12" spans="1:26" x14ac:dyDescent="0.25">
      <c r="A12" s="8"/>
    </row>
    <row r="13" spans="1:26" x14ac:dyDescent="0.25">
      <c r="A13" s="8"/>
      <c r="B13" s="9" t="s">
        <v>2</v>
      </c>
      <c r="C13" s="417"/>
      <c r="D13" s="417"/>
      <c r="E13" s="417"/>
      <c r="F13" s="417"/>
    </row>
    <row r="14" spans="1:26" x14ac:dyDescent="0.25">
      <c r="A14" s="8"/>
      <c r="C14" s="300"/>
      <c r="D14" s="300"/>
      <c r="E14" s="300"/>
      <c r="F14" s="300"/>
    </row>
    <row r="15" spans="1:26" x14ac:dyDescent="0.25">
      <c r="A15" s="8"/>
      <c r="C15" s="117">
        <v>2000</v>
      </c>
      <c r="D15" s="117">
        <f>+C15+1</f>
        <v>2001</v>
      </c>
      <c r="E15" s="117">
        <f t="shared" ref="E15:Z15" si="0">+D15+1</f>
        <v>2002</v>
      </c>
      <c r="F15" s="117">
        <f t="shared" si="0"/>
        <v>2003</v>
      </c>
      <c r="G15" s="117">
        <f t="shared" si="0"/>
        <v>2004</v>
      </c>
      <c r="H15" s="117">
        <f t="shared" si="0"/>
        <v>2005</v>
      </c>
      <c r="I15" s="117">
        <f t="shared" si="0"/>
        <v>2006</v>
      </c>
      <c r="J15" s="117">
        <f t="shared" si="0"/>
        <v>2007</v>
      </c>
      <c r="K15" s="117">
        <f t="shared" si="0"/>
        <v>2008</v>
      </c>
      <c r="L15" s="117">
        <f t="shared" si="0"/>
        <v>2009</v>
      </c>
      <c r="M15" s="117">
        <f t="shared" si="0"/>
        <v>2010</v>
      </c>
      <c r="N15" s="117">
        <f t="shared" si="0"/>
        <v>2011</v>
      </c>
      <c r="O15" s="117">
        <f t="shared" si="0"/>
        <v>2012</v>
      </c>
      <c r="P15" s="117">
        <f t="shared" si="0"/>
        <v>2013</v>
      </c>
      <c r="Q15" s="117">
        <f t="shared" si="0"/>
        <v>2014</v>
      </c>
      <c r="R15" s="117">
        <f t="shared" si="0"/>
        <v>2015</v>
      </c>
      <c r="S15" s="117">
        <f t="shared" si="0"/>
        <v>2016</v>
      </c>
      <c r="T15" s="117">
        <f t="shared" si="0"/>
        <v>2017</v>
      </c>
      <c r="U15" s="117">
        <f t="shared" si="0"/>
        <v>2018</v>
      </c>
      <c r="V15" s="117">
        <f t="shared" si="0"/>
        <v>2019</v>
      </c>
      <c r="W15" s="117">
        <f t="shared" si="0"/>
        <v>2020</v>
      </c>
      <c r="X15" s="117">
        <f t="shared" si="0"/>
        <v>2021</v>
      </c>
      <c r="Y15" s="117">
        <f t="shared" si="0"/>
        <v>2022</v>
      </c>
      <c r="Z15" s="117">
        <f t="shared" si="0"/>
        <v>2023</v>
      </c>
    </row>
    <row r="16" spans="1:26" x14ac:dyDescent="0.25">
      <c r="A16" s="24"/>
      <c r="B16" s="23" t="s">
        <v>1219</v>
      </c>
      <c r="C16" s="302">
        <v>54.2</v>
      </c>
      <c r="D16" s="302">
        <v>57.4</v>
      </c>
      <c r="E16" s="302">
        <v>60</v>
      </c>
      <c r="F16" s="302">
        <v>63.9</v>
      </c>
      <c r="G16" s="16">
        <v>67.099999999999994</v>
      </c>
      <c r="H16" s="16">
        <v>72.2</v>
      </c>
      <c r="I16" s="16">
        <v>73.7</v>
      </c>
      <c r="J16" s="16">
        <v>72.7</v>
      </c>
      <c r="K16" s="16">
        <v>75.599999999999994</v>
      </c>
      <c r="L16" s="16">
        <v>87.8</v>
      </c>
      <c r="M16" s="16">
        <v>100.2</v>
      </c>
      <c r="N16" s="16">
        <v>114.4</v>
      </c>
      <c r="O16" s="16">
        <v>129</v>
      </c>
      <c r="P16" s="16">
        <v>131.4</v>
      </c>
      <c r="Q16" s="16">
        <v>132.9</v>
      </c>
      <c r="R16" s="16">
        <v>131.19999999999999</v>
      </c>
      <c r="S16" s="16">
        <v>131.5</v>
      </c>
      <c r="T16" s="16">
        <v>126.1</v>
      </c>
      <c r="U16" s="16">
        <v>121.5</v>
      </c>
      <c r="V16" s="16">
        <v>116.6</v>
      </c>
      <c r="W16" s="16">
        <v>134.9</v>
      </c>
      <c r="X16" s="16">
        <v>124.5</v>
      </c>
      <c r="Y16" s="16">
        <v>112.4</v>
      </c>
      <c r="Z16" s="16">
        <v>99.1</v>
      </c>
    </row>
    <row r="17" spans="1:26" x14ac:dyDescent="0.25">
      <c r="A17" s="24"/>
      <c r="B17" s="23" t="s">
        <v>1221</v>
      </c>
      <c r="C17" s="303">
        <v>69591.8</v>
      </c>
      <c r="D17" s="303">
        <v>77908</v>
      </c>
      <c r="E17" s="303">
        <v>85594.9</v>
      </c>
      <c r="F17" s="303">
        <v>93333.4</v>
      </c>
      <c r="G17" s="91">
        <v>102157.9</v>
      </c>
      <c r="H17" s="91">
        <v>114552.9</v>
      </c>
      <c r="I17" s="91">
        <v>122499.7</v>
      </c>
      <c r="J17" s="91">
        <v>127625.5</v>
      </c>
      <c r="K17" s="91">
        <v>135477.9</v>
      </c>
      <c r="L17" s="91">
        <v>154014</v>
      </c>
      <c r="M17" s="91">
        <v>179996</v>
      </c>
      <c r="N17" s="91">
        <v>201459.4</v>
      </c>
      <c r="O17" s="91">
        <v>217160.3</v>
      </c>
      <c r="P17" s="91">
        <v>224077.6</v>
      </c>
      <c r="Q17" s="91">
        <v>230058.8</v>
      </c>
      <c r="R17" s="91">
        <v>235746.1</v>
      </c>
      <c r="S17" s="91">
        <v>245244.79999999999</v>
      </c>
      <c r="T17" s="91">
        <v>247174.5</v>
      </c>
      <c r="U17" s="91">
        <v>249260.5</v>
      </c>
      <c r="V17" s="91">
        <v>249977.5</v>
      </c>
      <c r="W17" s="91">
        <v>270494.90000000002</v>
      </c>
      <c r="X17" s="91">
        <v>269089</v>
      </c>
      <c r="Y17" s="91">
        <v>272427.2</v>
      </c>
      <c r="Z17" s="91">
        <v>263084.79999999999</v>
      </c>
    </row>
    <row r="18" spans="1:26" x14ac:dyDescent="0.25">
      <c r="A18" s="23"/>
      <c r="B18" s="24"/>
      <c r="C18" s="85"/>
      <c r="D18" s="85"/>
      <c r="E18" s="85"/>
      <c r="F18" s="85"/>
      <c r="G18" s="17"/>
      <c r="H18" s="17"/>
      <c r="I18" s="17"/>
      <c r="J18" s="17"/>
    </row>
    <row r="19" spans="1:26" x14ac:dyDescent="0.25">
      <c r="A19" s="25"/>
      <c r="B19" s="26"/>
      <c r="C19" s="27"/>
      <c r="D19" s="27"/>
      <c r="E19" s="27"/>
      <c r="F19" s="27"/>
      <c r="G19" s="27"/>
      <c r="H19" s="27"/>
      <c r="I19" s="27"/>
      <c r="J19" s="27"/>
      <c r="K19" s="16"/>
      <c r="L19" s="16"/>
      <c r="M19" s="16"/>
    </row>
    <row r="20" spans="1:26" x14ac:dyDescent="0.25">
      <c r="A20" s="28" t="s">
        <v>968</v>
      </c>
      <c r="B20" s="25"/>
      <c r="C20" s="19"/>
      <c r="D20" s="19"/>
      <c r="E20" s="19"/>
      <c r="F20" s="19"/>
      <c r="G20" s="19"/>
      <c r="H20" s="19"/>
      <c r="I20" s="19"/>
      <c r="J20" s="19"/>
    </row>
    <row r="21" spans="1:26" x14ac:dyDescent="0.25">
      <c r="A21" s="29" t="s">
        <v>969</v>
      </c>
      <c r="B21" s="25"/>
      <c r="C21" s="19"/>
      <c r="D21" s="19"/>
      <c r="E21" s="19"/>
      <c r="F21" s="19"/>
      <c r="G21" s="19"/>
      <c r="H21" s="19"/>
      <c r="I21" s="19"/>
      <c r="J21" s="19"/>
      <c r="K21" s="16"/>
      <c r="L21" s="16"/>
      <c r="M21" s="16"/>
    </row>
    <row r="22" spans="1:26" x14ac:dyDescent="0.25">
      <c r="A22" s="15"/>
      <c r="B22" s="13"/>
      <c r="E22" s="16"/>
      <c r="F22" s="16"/>
      <c r="G22" s="16"/>
      <c r="H22" s="16"/>
      <c r="J22" s="16"/>
      <c r="K22" s="16"/>
      <c r="L22" s="16"/>
      <c r="M22" s="16"/>
    </row>
    <row r="23" spans="1:26" x14ac:dyDescent="0.25">
      <c r="A23" s="11"/>
      <c r="B23" s="12"/>
    </row>
    <row r="24" spans="1:26" x14ac:dyDescent="0.25">
      <c r="A24" s="11"/>
      <c r="B24" s="12"/>
      <c r="E24" s="16"/>
      <c r="F24" s="16"/>
      <c r="G24" s="16"/>
      <c r="H24" s="16"/>
      <c r="J24" s="16"/>
      <c r="K24" s="16"/>
      <c r="L24" s="16"/>
      <c r="M24" s="16"/>
    </row>
    <row r="25" spans="1:26" x14ac:dyDescent="0.25">
      <c r="A25" s="11"/>
      <c r="B25" s="12"/>
      <c r="E25" s="16"/>
      <c r="F25" s="16"/>
      <c r="G25" s="16"/>
      <c r="H25" s="16"/>
      <c r="J25" s="16"/>
      <c r="K25" s="16"/>
      <c r="L25" s="16"/>
      <c r="M25" s="16"/>
    </row>
    <row r="26" spans="1:26" x14ac:dyDescent="0.25">
      <c r="A26" s="11"/>
      <c r="B26" s="12"/>
      <c r="E26" s="16"/>
      <c r="F26" s="16"/>
      <c r="G26" s="16"/>
      <c r="H26" s="16"/>
      <c r="J26" s="16"/>
      <c r="K26" s="16"/>
      <c r="L26" s="16"/>
      <c r="M26" s="16"/>
    </row>
    <row r="27" spans="1:26" x14ac:dyDescent="0.25">
      <c r="A27" s="11"/>
      <c r="B27" s="12"/>
    </row>
    <row r="28" spans="1:26" x14ac:dyDescent="0.25">
      <c r="A28" s="11"/>
      <c r="B28" s="8"/>
      <c r="E28" s="16"/>
      <c r="F28" s="16"/>
      <c r="G28" s="16"/>
      <c r="H28" s="16"/>
      <c r="J28" s="16"/>
      <c r="K28" s="16"/>
      <c r="L28" s="16"/>
      <c r="M28" s="16"/>
    </row>
    <row r="29" spans="1:26" x14ac:dyDescent="0.25">
      <c r="A29" s="11"/>
      <c r="B29" s="12"/>
      <c r="E29" s="16"/>
      <c r="F29" s="16"/>
      <c r="G29" s="16"/>
      <c r="H29" s="16"/>
      <c r="J29" s="16"/>
      <c r="K29" s="16"/>
      <c r="L29" s="16"/>
      <c r="M29" s="16"/>
    </row>
    <row r="32" spans="1:26" x14ac:dyDescent="0.25">
      <c r="A32" s="8"/>
    </row>
  </sheetData>
  <mergeCells count="2">
    <mergeCell ref="C13:D13"/>
    <mergeCell ref="E13:F13"/>
  </mergeCells>
  <hyperlinks>
    <hyperlink ref="A5" location="Índice!A1" display="Índice/Contents" xr:uid="{A3A22637-455A-429D-A8D0-714A179129AC}"/>
  </hyperlinks>
  <pageMargins left="0.7" right="0.7" top="0.75" bottom="0.75" header="0.3" footer="0.3"/>
  <pageSetup paperSize="9" orientation="portrait" horizontalDpi="1200" verticalDpi="1200"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2E5E-5CB0-4BC5-BA4C-217F0673935E}">
  <sheetPr codeName="Sheet56">
    <tabColor theme="5" tint="0.89999084444715716"/>
  </sheetPr>
  <dimension ref="A5:AA34"/>
  <sheetViews>
    <sheetView showGridLines="0" showRowColHeaders="0" topLeftCell="A6" workbookViewId="0">
      <selection activeCell="A23" sqref="A23"/>
    </sheetView>
  </sheetViews>
  <sheetFormatPr defaultRowHeight="15" x14ac:dyDescent="0.25"/>
  <cols>
    <col min="1" max="1" width="61.140625" customWidth="1"/>
    <col min="2" max="2" width="40.42578125" customWidth="1"/>
    <col min="3" max="3" width="45" customWidth="1"/>
    <col min="4" max="27" width="8.42578125" customWidth="1"/>
  </cols>
  <sheetData>
    <row r="5" spans="1:27" ht="36" customHeight="1" x14ac:dyDescent="0.25">
      <c r="A5" s="10" t="s">
        <v>3</v>
      </c>
    </row>
    <row r="6" spans="1:27" ht="18.75" x14ac:dyDescent="0.25">
      <c r="A6" s="6" t="s">
        <v>179</v>
      </c>
    </row>
    <row r="7" spans="1:27" x14ac:dyDescent="0.25">
      <c r="A7" s="78" t="str">
        <f>+Índice!A136</f>
        <v>Parte III. Políticas em análise: Juros e gestão da dívida pública em Portugal/Policy insights: Interest expenditure and public debt management in Portugal</v>
      </c>
    </row>
    <row r="8" spans="1:27" ht="18.75" x14ac:dyDescent="0.25">
      <c r="A8" s="6"/>
    </row>
    <row r="9" spans="1:27" x14ac:dyDescent="0.25">
      <c r="A9" s="7"/>
    </row>
    <row r="10" spans="1:27" x14ac:dyDescent="0.25">
      <c r="A10" t="s">
        <v>970</v>
      </c>
    </row>
    <row r="11" spans="1:27" x14ac:dyDescent="0.25">
      <c r="A11" s="8" t="s">
        <v>971</v>
      </c>
    </row>
    <row r="12" spans="1:27" x14ac:dyDescent="0.25">
      <c r="A12" s="8"/>
    </row>
    <row r="13" spans="1:27" x14ac:dyDescent="0.25">
      <c r="A13" s="8"/>
      <c r="C13" s="9" t="s">
        <v>2</v>
      </c>
      <c r="D13" s="417"/>
      <c r="E13" s="417"/>
      <c r="F13" s="417"/>
      <c r="G13" s="417"/>
    </row>
    <row r="14" spans="1:27" x14ac:dyDescent="0.25">
      <c r="A14" s="8"/>
      <c r="D14" s="300"/>
      <c r="E14" s="300"/>
      <c r="F14" s="300"/>
      <c r="G14" s="300"/>
    </row>
    <row r="15" spans="1:27" x14ac:dyDescent="0.25">
      <c r="A15" s="8"/>
      <c r="D15" s="117">
        <v>2000</v>
      </c>
      <c r="E15" s="117">
        <f>+D15+1</f>
        <v>2001</v>
      </c>
      <c r="F15" s="117">
        <f t="shared" ref="F15:AA15" si="0">+E15+1</f>
        <v>2002</v>
      </c>
      <c r="G15" s="117">
        <f t="shared" si="0"/>
        <v>2003</v>
      </c>
      <c r="H15" s="117">
        <f t="shared" si="0"/>
        <v>2004</v>
      </c>
      <c r="I15" s="117">
        <f t="shared" si="0"/>
        <v>2005</v>
      </c>
      <c r="J15" s="117">
        <f t="shared" si="0"/>
        <v>2006</v>
      </c>
      <c r="K15" s="117">
        <f t="shared" si="0"/>
        <v>2007</v>
      </c>
      <c r="L15" s="117">
        <f t="shared" si="0"/>
        <v>2008</v>
      </c>
      <c r="M15" s="117">
        <f t="shared" si="0"/>
        <v>2009</v>
      </c>
      <c r="N15" s="117">
        <f t="shared" si="0"/>
        <v>2010</v>
      </c>
      <c r="O15" s="117">
        <f t="shared" si="0"/>
        <v>2011</v>
      </c>
      <c r="P15" s="117">
        <f t="shared" si="0"/>
        <v>2012</v>
      </c>
      <c r="Q15" s="117">
        <f t="shared" si="0"/>
        <v>2013</v>
      </c>
      <c r="R15" s="117">
        <f t="shared" si="0"/>
        <v>2014</v>
      </c>
      <c r="S15" s="117">
        <f t="shared" si="0"/>
        <v>2015</v>
      </c>
      <c r="T15" s="117">
        <f t="shared" si="0"/>
        <v>2016</v>
      </c>
      <c r="U15" s="117">
        <f t="shared" si="0"/>
        <v>2017</v>
      </c>
      <c r="V15" s="117">
        <f t="shared" si="0"/>
        <v>2018</v>
      </c>
      <c r="W15" s="117">
        <f t="shared" si="0"/>
        <v>2019</v>
      </c>
      <c r="X15" s="117">
        <f t="shared" si="0"/>
        <v>2020</v>
      </c>
      <c r="Y15" s="117">
        <f t="shared" si="0"/>
        <v>2021</v>
      </c>
      <c r="Z15" s="117">
        <f t="shared" si="0"/>
        <v>2022</v>
      </c>
      <c r="AA15" s="117">
        <f t="shared" si="0"/>
        <v>2023</v>
      </c>
    </row>
    <row r="16" spans="1:27" x14ac:dyDescent="0.25">
      <c r="A16" s="24" t="s">
        <v>960</v>
      </c>
      <c r="B16" s="23" t="s">
        <v>960</v>
      </c>
      <c r="C16" s="23" t="s">
        <v>1219</v>
      </c>
      <c r="D16" s="302">
        <v>54.2</v>
      </c>
      <c r="E16" s="302">
        <v>57.4</v>
      </c>
      <c r="F16" s="302">
        <v>60</v>
      </c>
      <c r="G16" s="302">
        <v>63.9</v>
      </c>
      <c r="H16" s="16">
        <v>67.099999999999994</v>
      </c>
      <c r="I16" s="16">
        <v>72.2</v>
      </c>
      <c r="J16" s="16">
        <v>73.7</v>
      </c>
      <c r="K16" s="16">
        <v>72.7</v>
      </c>
      <c r="L16" s="16">
        <v>75.599999999999994</v>
      </c>
      <c r="M16" s="16">
        <v>87.8</v>
      </c>
      <c r="N16" s="16">
        <v>100.2</v>
      </c>
      <c r="O16" s="16">
        <v>114.4</v>
      </c>
      <c r="P16" s="16">
        <v>129</v>
      </c>
      <c r="Q16" s="16">
        <v>131.4</v>
      </c>
      <c r="R16" s="16">
        <v>132.9</v>
      </c>
      <c r="S16" s="16">
        <v>131.19999999999999</v>
      </c>
      <c r="T16" s="16">
        <v>131.5</v>
      </c>
      <c r="U16" s="16">
        <v>126.1</v>
      </c>
      <c r="V16" s="16">
        <v>121.5</v>
      </c>
      <c r="W16" s="16">
        <v>116.6</v>
      </c>
      <c r="X16" s="16">
        <v>134.9</v>
      </c>
      <c r="Y16" s="16">
        <v>124.5</v>
      </c>
      <c r="Z16" s="16">
        <v>112.4</v>
      </c>
      <c r="AA16" s="16">
        <v>99.1</v>
      </c>
    </row>
    <row r="17" spans="1:27" x14ac:dyDescent="0.25">
      <c r="A17" s="24" t="s">
        <v>962</v>
      </c>
      <c r="B17" s="23" t="s">
        <v>961</v>
      </c>
      <c r="C17" s="23" t="s">
        <v>1219</v>
      </c>
      <c r="D17" s="303">
        <v>69591.8</v>
      </c>
      <c r="E17" s="303">
        <v>77908</v>
      </c>
      <c r="F17" s="303">
        <v>85594.9</v>
      </c>
      <c r="G17" s="303">
        <v>93333.4</v>
      </c>
      <c r="H17" s="91">
        <v>102157.9</v>
      </c>
      <c r="I17" s="91">
        <v>114552.9</v>
      </c>
      <c r="J17" s="91">
        <v>122499.7</v>
      </c>
      <c r="K17" s="91">
        <v>127625.5</v>
      </c>
      <c r="L17" s="91">
        <v>135477.9</v>
      </c>
      <c r="M17" s="91">
        <v>154014</v>
      </c>
      <c r="N17" s="91">
        <v>179996</v>
      </c>
      <c r="O17" s="91">
        <v>201459.4</v>
      </c>
      <c r="P17" s="91">
        <v>217160.3</v>
      </c>
      <c r="Q17" s="91">
        <v>224077.6</v>
      </c>
      <c r="R17" s="91">
        <v>230058.8</v>
      </c>
      <c r="S17" s="91">
        <v>235746.1</v>
      </c>
      <c r="T17" s="91">
        <v>245244.79999999999</v>
      </c>
      <c r="U17" s="91">
        <v>247174.5</v>
      </c>
      <c r="V17" s="91">
        <v>249260.5</v>
      </c>
      <c r="W17" s="91">
        <v>249977.5</v>
      </c>
      <c r="X17" s="91">
        <v>270494.90000000002</v>
      </c>
      <c r="Y17" s="91">
        <v>269089</v>
      </c>
      <c r="Z17" s="91">
        <v>272427.2</v>
      </c>
      <c r="AA17" s="91">
        <v>263084.79999999999</v>
      </c>
    </row>
    <row r="18" spans="1:27" x14ac:dyDescent="0.25">
      <c r="A18" s="24" t="s">
        <v>963</v>
      </c>
      <c r="B18" s="23" t="s">
        <v>965</v>
      </c>
      <c r="C18" s="23" t="s">
        <v>1219</v>
      </c>
      <c r="D18" s="305">
        <v>5.1137468403655459</v>
      </c>
      <c r="E18" s="305">
        <v>4.7716506132730316</v>
      </c>
      <c r="F18" s="305">
        <v>5.6618004244113207</v>
      </c>
      <c r="G18" s="305">
        <v>5.6001555281094184</v>
      </c>
      <c r="H18" s="306">
        <v>5.1127588851956025</v>
      </c>
      <c r="I18" s="306">
        <v>4.6996905662373383</v>
      </c>
      <c r="J18" s="306">
        <v>4.6289677129317779</v>
      </c>
      <c r="K18" s="306">
        <v>3.7649454616402358</v>
      </c>
      <c r="L18" s="227">
        <v>4.5095408018967271</v>
      </c>
      <c r="M18" s="227">
        <v>7.2396493040567798</v>
      </c>
      <c r="N18" s="227">
        <v>6.6609683130838269</v>
      </c>
      <c r="O18" s="227">
        <v>6.1604696203821971</v>
      </c>
      <c r="P18" s="227">
        <v>9.837191000574883</v>
      </c>
      <c r="Q18" s="227">
        <v>10.228017852232586</v>
      </c>
      <c r="R18" s="227">
        <v>10.623896409652737</v>
      </c>
      <c r="S18" s="227">
        <v>10.069117946431167</v>
      </c>
      <c r="T18" s="227">
        <v>9.9968272798752977</v>
      </c>
      <c r="U18" s="227">
        <v>9.1215762620837815</v>
      </c>
      <c r="V18" s="227">
        <v>8.2037004187843685</v>
      </c>
      <c r="W18" s="227">
        <v>8.4912883259990704</v>
      </c>
      <c r="X18" s="227">
        <v>18.572366022602989</v>
      </c>
      <c r="Y18" s="227">
        <v>17.753216336744842</v>
      </c>
      <c r="Z18" s="227">
        <v>18.48707759551916</v>
      </c>
      <c r="AA18" s="227">
        <v>19.570409528055539</v>
      </c>
    </row>
    <row r="19" spans="1:27" x14ac:dyDescent="0.25">
      <c r="A19" s="24" t="s">
        <v>964</v>
      </c>
      <c r="B19" s="23" t="s">
        <v>966</v>
      </c>
      <c r="C19" s="23" t="s">
        <v>1219</v>
      </c>
      <c r="D19" s="305">
        <v>109.5886750886587</v>
      </c>
      <c r="E19" s="305">
        <v>108.88632235513944</v>
      </c>
      <c r="F19" s="305">
        <v>106.36047649824786</v>
      </c>
      <c r="G19" s="305">
        <v>105.49457758882025</v>
      </c>
      <c r="H19" s="306">
        <v>105.10091102574572</v>
      </c>
      <c r="I19" s="306">
        <v>107.3948654477488</v>
      </c>
      <c r="J19" s="306">
        <v>106.73976232682598</v>
      </c>
      <c r="K19" s="306">
        <v>103.89015058955074</v>
      </c>
      <c r="L19" s="227">
        <v>109.41549747427997</v>
      </c>
      <c r="M19" s="227">
        <v>126.74469613217801</v>
      </c>
      <c r="N19" s="227">
        <v>147.49424425764309</v>
      </c>
      <c r="O19" s="227">
        <v>175.2191992256092</v>
      </c>
      <c r="P19" s="227">
        <v>161.95138989895986</v>
      </c>
      <c r="Q19" s="227">
        <v>178.16886845107192</v>
      </c>
      <c r="R19" s="227">
        <v>180.34090139700737</v>
      </c>
      <c r="S19" s="227">
        <v>176.74828158479187</v>
      </c>
      <c r="T19" s="227">
        <v>180.52863648190024</v>
      </c>
      <c r="U19" s="227">
        <v>179.46574232038503</v>
      </c>
      <c r="V19" s="227">
        <v>186.41417215747362</v>
      </c>
      <c r="W19" s="227">
        <v>180.61014227635624</v>
      </c>
      <c r="X19" s="227">
        <v>207.00333362219473</v>
      </c>
      <c r="Y19" s="227">
        <v>194.99130580428476</v>
      </c>
      <c r="Z19" s="227">
        <v>172.68188426699396</v>
      </c>
      <c r="AA19" s="227">
        <v>161.91138915291967</v>
      </c>
    </row>
    <row r="20" spans="1:27" x14ac:dyDescent="0.25">
      <c r="A20" s="23"/>
      <c r="B20" s="24"/>
      <c r="C20" s="24"/>
      <c r="D20" s="85"/>
      <c r="E20" s="85"/>
      <c r="F20" s="85"/>
      <c r="G20" s="85"/>
      <c r="H20" s="85"/>
      <c r="I20" s="85"/>
      <c r="J20" s="85"/>
      <c r="K20" s="85"/>
      <c r="L20" s="85"/>
      <c r="M20" s="85"/>
      <c r="N20" s="85"/>
      <c r="O20" s="85"/>
      <c r="P20" s="85"/>
      <c r="Q20" s="85"/>
      <c r="R20" s="85"/>
      <c r="S20" s="85"/>
      <c r="T20" s="85"/>
      <c r="U20" s="85"/>
      <c r="V20" s="85"/>
      <c r="W20" s="85"/>
      <c r="X20" s="85"/>
      <c r="Y20" s="85"/>
      <c r="Z20" s="85"/>
      <c r="AA20" s="85"/>
    </row>
    <row r="21" spans="1:27" x14ac:dyDescent="0.25">
      <c r="A21" s="25"/>
      <c r="B21" s="26"/>
      <c r="C21" s="26"/>
      <c r="D21" s="27"/>
      <c r="E21" s="27"/>
      <c r="F21" s="27"/>
      <c r="G21" s="27"/>
      <c r="H21" s="27"/>
      <c r="I21" s="27"/>
      <c r="J21" s="27"/>
      <c r="K21" s="27"/>
      <c r="L21" s="16"/>
      <c r="M21" s="16"/>
      <c r="N21" s="16"/>
    </row>
    <row r="22" spans="1:27" x14ac:dyDescent="0.25">
      <c r="A22" s="28" t="s">
        <v>1560</v>
      </c>
      <c r="B22" s="25"/>
      <c r="C22" s="25"/>
      <c r="D22" s="19"/>
      <c r="E22" s="19"/>
      <c r="F22" s="19"/>
      <c r="G22" s="19"/>
      <c r="H22" s="19"/>
      <c r="I22" s="19"/>
      <c r="J22" s="19"/>
      <c r="K22" s="19"/>
    </row>
    <row r="23" spans="1:27" x14ac:dyDescent="0.25">
      <c r="A23" s="29" t="s">
        <v>1559</v>
      </c>
      <c r="B23" s="25"/>
      <c r="C23" s="25"/>
      <c r="D23" s="19"/>
      <c r="E23" s="19"/>
      <c r="F23" s="19"/>
      <c r="G23" s="19"/>
      <c r="H23" s="19"/>
      <c r="I23" s="19"/>
      <c r="J23" s="19"/>
      <c r="K23" s="19"/>
      <c r="L23" s="16"/>
      <c r="M23" s="16"/>
      <c r="N23" s="16"/>
    </row>
    <row r="24" spans="1:27" x14ac:dyDescent="0.25">
      <c r="A24" s="15"/>
      <c r="B24" s="13"/>
      <c r="C24" s="13"/>
      <c r="F24" s="16"/>
      <c r="G24" s="16"/>
      <c r="H24" s="16"/>
      <c r="I24" s="16"/>
      <c r="K24" s="16"/>
      <c r="L24" s="16"/>
      <c r="M24" s="16"/>
      <c r="N24" s="16"/>
    </row>
    <row r="25" spans="1:27" x14ac:dyDescent="0.25">
      <c r="A25" s="11"/>
      <c r="B25" s="12"/>
      <c r="C25" s="12"/>
    </row>
    <row r="26" spans="1:27" x14ac:dyDescent="0.25">
      <c r="A26" s="11"/>
      <c r="B26" s="12"/>
      <c r="C26" s="12"/>
      <c r="F26" s="16"/>
      <c r="G26" s="16"/>
      <c r="H26" s="16"/>
      <c r="I26" s="16"/>
      <c r="K26" s="16"/>
      <c r="L26" s="16"/>
      <c r="M26" s="16"/>
      <c r="N26" s="16"/>
    </row>
    <row r="27" spans="1:27" x14ac:dyDescent="0.25">
      <c r="A27" s="11"/>
      <c r="B27" s="12"/>
      <c r="C27" s="12"/>
      <c r="F27" s="16"/>
      <c r="G27" s="16"/>
      <c r="H27" s="16"/>
      <c r="I27" s="16"/>
      <c r="K27" s="16"/>
      <c r="L27" s="16"/>
      <c r="M27" s="16"/>
      <c r="N27" s="16"/>
    </row>
    <row r="28" spans="1:27" x14ac:dyDescent="0.25">
      <c r="A28" s="11"/>
      <c r="B28" s="12"/>
      <c r="C28" s="12"/>
      <c r="F28" s="16"/>
      <c r="G28" s="16"/>
      <c r="H28" s="16"/>
      <c r="I28" s="16"/>
      <c r="K28" s="16"/>
      <c r="L28" s="16"/>
      <c r="M28" s="16"/>
      <c r="N28" s="16"/>
    </row>
    <row r="29" spans="1:27" x14ac:dyDescent="0.25">
      <c r="A29" s="11"/>
      <c r="B29" s="12"/>
      <c r="C29" s="12"/>
    </row>
    <row r="30" spans="1:27" x14ac:dyDescent="0.25">
      <c r="A30" s="11"/>
      <c r="B30" s="8"/>
      <c r="C30" s="8"/>
      <c r="F30" s="16"/>
      <c r="G30" s="16"/>
      <c r="H30" s="16"/>
      <c r="I30" s="16"/>
      <c r="K30" s="16"/>
      <c r="L30" s="16"/>
      <c r="M30" s="16"/>
      <c r="N30" s="16"/>
    </row>
    <row r="31" spans="1:27" x14ac:dyDescent="0.25">
      <c r="A31" s="11"/>
      <c r="B31" s="12"/>
      <c r="C31" s="12"/>
      <c r="F31" s="16"/>
      <c r="G31" s="16"/>
      <c r="H31" s="16"/>
      <c r="I31" s="16"/>
      <c r="K31" s="16"/>
      <c r="L31" s="16"/>
      <c r="M31" s="16"/>
      <c r="N31" s="16"/>
    </row>
    <row r="34" spans="1:1" x14ac:dyDescent="0.25">
      <c r="A34" s="8"/>
    </row>
  </sheetData>
  <mergeCells count="2">
    <mergeCell ref="D13:E13"/>
    <mergeCell ref="F13:G13"/>
  </mergeCells>
  <hyperlinks>
    <hyperlink ref="A5" location="Índice!A1" display="Índice/Contents" xr:uid="{C032914D-BAC6-440E-BCB5-68AAE8C3C3BC}"/>
  </hyperlinks>
  <pageMargins left="0.7" right="0.7" top="0.75" bottom="0.75" header="0.3" footer="0.3"/>
  <pageSetup paperSize="9" orientation="portrait" horizontalDpi="1200" verticalDpi="1200"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45D9-C790-4AA1-BCAF-8BD993EA971A}">
  <sheetPr codeName="Sheet57">
    <tabColor theme="5" tint="0.89999084444715716"/>
  </sheetPr>
  <dimension ref="A5:AA34"/>
  <sheetViews>
    <sheetView showGridLines="0" showRowColHeaders="0" topLeftCell="A5" workbookViewId="0">
      <selection sqref="A1:XFD1048576"/>
    </sheetView>
  </sheetViews>
  <sheetFormatPr defaultRowHeight="15" x14ac:dyDescent="0.25"/>
  <cols>
    <col min="1" max="1" width="61.140625" customWidth="1"/>
    <col min="2" max="3" width="40.42578125" customWidth="1"/>
    <col min="4" max="12" width="11.140625" customWidth="1"/>
    <col min="13" max="27" width="8.42578125" customWidth="1"/>
  </cols>
  <sheetData>
    <row r="5" spans="1:15" ht="36" customHeight="1" x14ac:dyDescent="0.25">
      <c r="A5" s="10" t="s">
        <v>3</v>
      </c>
    </row>
    <row r="6" spans="1:15" ht="18.75" x14ac:dyDescent="0.25">
      <c r="A6" s="6" t="s">
        <v>179</v>
      </c>
    </row>
    <row r="7" spans="1:15" x14ac:dyDescent="0.25">
      <c r="A7" s="78" t="str">
        <f>+Índice!A136</f>
        <v>Parte III. Políticas em análise: Juros e gestão da dívida pública em Portugal/Policy insights: Interest expenditure and public debt management in Portugal</v>
      </c>
    </row>
    <row r="8" spans="1:15" ht="18.75" x14ac:dyDescent="0.25">
      <c r="A8" s="6"/>
    </row>
    <row r="9" spans="1:15" x14ac:dyDescent="0.25">
      <c r="A9" s="7"/>
    </row>
    <row r="10" spans="1:15" x14ac:dyDescent="0.25">
      <c r="A10" t="s">
        <v>1003</v>
      </c>
    </row>
    <row r="11" spans="1:15" x14ac:dyDescent="0.25">
      <c r="A11" s="8" t="s">
        <v>1004</v>
      </c>
    </row>
    <row r="12" spans="1:15" x14ac:dyDescent="0.25">
      <c r="A12" s="8"/>
    </row>
    <row r="13" spans="1:15" x14ac:dyDescent="0.25">
      <c r="A13" s="8"/>
      <c r="C13" s="9" t="s">
        <v>2</v>
      </c>
      <c r="D13" s="417"/>
      <c r="E13" s="417"/>
      <c r="F13" s="417"/>
      <c r="G13" s="417"/>
    </row>
    <row r="14" spans="1:15" x14ac:dyDescent="0.25">
      <c r="A14" s="8"/>
      <c r="D14" s="417" t="s">
        <v>960</v>
      </c>
      <c r="E14" s="417"/>
      <c r="F14" s="417"/>
      <c r="G14" s="417"/>
      <c r="I14" s="417" t="s">
        <v>992</v>
      </c>
      <c r="J14" s="417"/>
      <c r="K14" s="417"/>
      <c r="L14" s="417"/>
    </row>
    <row r="15" spans="1:15" x14ac:dyDescent="0.25">
      <c r="A15" s="8"/>
      <c r="D15" t="s">
        <v>988</v>
      </c>
      <c r="E15" t="s">
        <v>989</v>
      </c>
      <c r="F15" t="s">
        <v>990</v>
      </c>
      <c r="G15" t="s">
        <v>991</v>
      </c>
      <c r="H15" s="117"/>
      <c r="I15" t="s">
        <v>988</v>
      </c>
      <c r="J15" t="s">
        <v>989</v>
      </c>
      <c r="K15" t="s">
        <v>990</v>
      </c>
      <c r="L15" t="s">
        <v>991</v>
      </c>
      <c r="M15" s="117"/>
      <c r="N15" s="117"/>
      <c r="O15" s="117"/>
    </row>
    <row r="16" spans="1:15" x14ac:dyDescent="0.25">
      <c r="A16" s="24" t="s">
        <v>997</v>
      </c>
      <c r="B16" t="s">
        <v>993</v>
      </c>
      <c r="C16" t="s">
        <v>730</v>
      </c>
      <c r="D16" s="16">
        <v>-0.96668268987911743</v>
      </c>
      <c r="E16" s="16">
        <v>0.1641025400450733</v>
      </c>
      <c r="F16" s="16">
        <v>-0.81471845641992591</v>
      </c>
      <c r="G16" s="16">
        <v>-0.44122388176334626</v>
      </c>
      <c r="H16" s="16"/>
      <c r="I16" s="16">
        <v>-0.97845239557348718</v>
      </c>
      <c r="J16" s="16">
        <v>-0.18478503245930566</v>
      </c>
      <c r="K16" s="16">
        <v>-0.38544601459896</v>
      </c>
      <c r="L16" s="16">
        <v>-0.25015361640420175</v>
      </c>
      <c r="M16" s="16"/>
      <c r="N16" s="16"/>
      <c r="O16" s="16"/>
    </row>
    <row r="17" spans="1:27" x14ac:dyDescent="0.25">
      <c r="A17" s="24" t="s">
        <v>998</v>
      </c>
      <c r="B17" t="s">
        <v>994</v>
      </c>
      <c r="C17" t="s">
        <v>730</v>
      </c>
      <c r="D17" s="16">
        <v>-1.6021851502076816</v>
      </c>
      <c r="E17" s="16">
        <v>0.22933921487794393</v>
      </c>
      <c r="F17" s="16">
        <v>-2.3766889465200691</v>
      </c>
      <c r="G17" s="16">
        <v>0.19353564659958036</v>
      </c>
      <c r="H17" s="16"/>
      <c r="I17" s="16">
        <v>-1.4824363514690961</v>
      </c>
      <c r="J17" s="16">
        <v>-0.69565708582758612</v>
      </c>
      <c r="K17" s="16">
        <v>-1.1192405888116164</v>
      </c>
      <c r="L17" s="16">
        <v>0.37925588523901854</v>
      </c>
      <c r="M17" s="16"/>
      <c r="N17" s="16"/>
      <c r="O17" s="16"/>
    </row>
    <row r="18" spans="1:27" x14ac:dyDescent="0.25">
      <c r="A18" s="24" t="s">
        <v>999</v>
      </c>
      <c r="B18" t="s">
        <v>995</v>
      </c>
      <c r="C18" t="s">
        <v>730</v>
      </c>
      <c r="D18" s="227">
        <v>2.500918801611689</v>
      </c>
      <c r="E18" s="227">
        <v>1.5451780523213012</v>
      </c>
      <c r="F18" s="227">
        <v>0.7142531180703392</v>
      </c>
      <c r="G18" s="227">
        <v>1.1388748477402958E-2</v>
      </c>
      <c r="H18" s="227"/>
      <c r="I18" s="227">
        <v>1.418090758196703</v>
      </c>
      <c r="J18" s="227">
        <v>0.72154432650935696</v>
      </c>
      <c r="K18" s="227">
        <v>0.33793675425665004</v>
      </c>
      <c r="L18" s="227">
        <v>0.1416991259136218</v>
      </c>
      <c r="M18" s="16"/>
      <c r="N18" s="16"/>
      <c r="O18" s="16"/>
    </row>
    <row r="19" spans="1:27" x14ac:dyDescent="0.25">
      <c r="A19" s="24" t="s">
        <v>1000</v>
      </c>
      <c r="B19" t="s">
        <v>996</v>
      </c>
      <c r="C19" t="s">
        <v>730</v>
      </c>
      <c r="D19" s="227">
        <v>-6.7949038475109941E-2</v>
      </c>
      <c r="E19" s="227">
        <v>1.9386198072443181</v>
      </c>
      <c r="F19" s="227">
        <v>-2.4771542848696559</v>
      </c>
      <c r="G19" s="227">
        <v>-0.23629948668636297</v>
      </c>
      <c r="H19" s="227"/>
      <c r="I19" s="227">
        <v>-1.0427979888458805</v>
      </c>
      <c r="J19" s="227">
        <v>-0.15889779177753466</v>
      </c>
      <c r="K19" s="227">
        <v>-1.1667498491539265</v>
      </c>
      <c r="L19" s="227">
        <v>0.27080139474843856</v>
      </c>
      <c r="M19" s="16"/>
      <c r="N19" s="16"/>
      <c r="O19" s="16"/>
    </row>
    <row r="20" spans="1:27" x14ac:dyDescent="0.25">
      <c r="A20" s="23"/>
      <c r="B20" s="24"/>
      <c r="C20" s="24"/>
      <c r="D20" s="85"/>
      <c r="E20" s="304"/>
      <c r="F20" s="304"/>
      <c r="G20" s="304"/>
      <c r="H20" s="304"/>
      <c r="I20" s="304"/>
      <c r="J20" s="304"/>
      <c r="K20" s="304"/>
      <c r="L20" s="304"/>
      <c r="M20" s="304"/>
      <c r="N20" s="304"/>
      <c r="O20" s="304"/>
      <c r="P20" s="304"/>
      <c r="Q20" s="304"/>
      <c r="R20" s="304"/>
      <c r="S20" s="304"/>
      <c r="T20" s="304"/>
      <c r="U20" s="304"/>
      <c r="V20" s="304"/>
      <c r="W20" s="304"/>
      <c r="X20" s="304"/>
      <c r="Y20" s="304"/>
      <c r="Z20" s="304"/>
      <c r="AA20" s="304"/>
    </row>
    <row r="21" spans="1:27" x14ac:dyDescent="0.25">
      <c r="A21" s="25"/>
      <c r="B21" s="26"/>
      <c r="C21" s="26"/>
      <c r="D21" s="27"/>
      <c r="E21" s="27"/>
      <c r="F21" s="27"/>
      <c r="G21" s="27"/>
      <c r="H21" s="27"/>
      <c r="I21" s="27"/>
      <c r="J21" s="27"/>
      <c r="K21" s="27"/>
      <c r="L21" s="16"/>
      <c r="M21" s="16"/>
      <c r="N21" s="16"/>
    </row>
    <row r="22" spans="1:27" x14ac:dyDescent="0.25">
      <c r="A22" s="28" t="s">
        <v>1001</v>
      </c>
      <c r="B22" s="25"/>
      <c r="C22" s="25"/>
      <c r="D22" s="19"/>
      <c r="E22" s="19"/>
      <c r="F22" s="19"/>
      <c r="G22" s="19"/>
      <c r="H22" s="19"/>
      <c r="I22" s="19"/>
      <c r="J22" s="19"/>
      <c r="K22" s="19"/>
    </row>
    <row r="23" spans="1:27" x14ac:dyDescent="0.25">
      <c r="A23" s="29" t="s">
        <v>1002</v>
      </c>
      <c r="B23" s="25"/>
      <c r="C23" s="25"/>
      <c r="D23" s="19"/>
      <c r="E23" s="19"/>
      <c r="F23" s="19"/>
      <c r="G23" s="19"/>
      <c r="H23" s="19"/>
      <c r="I23" s="19"/>
      <c r="J23" s="19"/>
      <c r="K23" s="19"/>
      <c r="L23" s="16"/>
      <c r="M23" s="16"/>
      <c r="N23" s="16"/>
    </row>
    <row r="24" spans="1:27" x14ac:dyDescent="0.25">
      <c r="A24" s="15"/>
      <c r="B24" s="13"/>
      <c r="C24" s="13"/>
      <c r="F24" s="16"/>
      <c r="G24" s="16"/>
      <c r="H24" s="16"/>
      <c r="I24" s="16"/>
      <c r="K24" s="16"/>
      <c r="L24" s="16"/>
      <c r="M24" s="16"/>
      <c r="N24" s="16"/>
    </row>
    <row r="25" spans="1:27" x14ac:dyDescent="0.25">
      <c r="A25" s="11"/>
      <c r="B25" s="12"/>
      <c r="C25" s="12"/>
    </row>
    <row r="26" spans="1:27" x14ac:dyDescent="0.25">
      <c r="A26" s="11"/>
      <c r="B26" s="12"/>
      <c r="C26" s="12"/>
      <c r="F26" s="16"/>
      <c r="G26" s="16"/>
      <c r="H26" s="16"/>
      <c r="I26" s="16"/>
      <c r="K26" s="16"/>
      <c r="L26" s="16"/>
      <c r="M26" s="16"/>
      <c r="N26" s="16"/>
    </row>
    <row r="27" spans="1:27" x14ac:dyDescent="0.25">
      <c r="A27" s="11"/>
      <c r="B27" s="12"/>
      <c r="C27" s="12"/>
      <c r="F27" s="16"/>
      <c r="G27" s="16"/>
      <c r="H27" s="16"/>
      <c r="I27" s="16"/>
      <c r="K27" s="16"/>
      <c r="L27" s="16"/>
      <c r="M27" s="16"/>
      <c r="N27" s="16"/>
    </row>
    <row r="28" spans="1:27" x14ac:dyDescent="0.25">
      <c r="A28" s="11"/>
      <c r="B28" s="12"/>
      <c r="C28" s="12"/>
      <c r="F28" s="16"/>
      <c r="G28" s="16"/>
      <c r="H28" s="16"/>
      <c r="I28" s="16"/>
      <c r="K28" s="16"/>
      <c r="L28" s="16"/>
      <c r="M28" s="16"/>
      <c r="N28" s="16"/>
    </row>
    <row r="29" spans="1:27" x14ac:dyDescent="0.25">
      <c r="A29" s="11"/>
      <c r="B29" s="12"/>
      <c r="C29" s="12"/>
    </row>
    <row r="30" spans="1:27" x14ac:dyDescent="0.25">
      <c r="A30" s="11"/>
      <c r="B30" s="8"/>
      <c r="C30" s="8"/>
      <c r="F30" s="16"/>
      <c r="G30" s="16"/>
      <c r="H30" s="16"/>
      <c r="I30" s="16"/>
      <c r="K30" s="16"/>
      <c r="L30" s="16"/>
      <c r="M30" s="16"/>
      <c r="N30" s="16"/>
    </row>
    <row r="31" spans="1:27" x14ac:dyDescent="0.25">
      <c r="A31" s="11"/>
      <c r="B31" s="12"/>
      <c r="C31" s="12"/>
      <c r="F31" s="16"/>
      <c r="G31" s="16"/>
      <c r="H31" s="16"/>
      <c r="I31" s="16"/>
      <c r="K31" s="16"/>
      <c r="L31" s="16"/>
      <c r="M31" s="16"/>
      <c r="N31" s="16"/>
    </row>
    <row r="34" spans="1:1" x14ac:dyDescent="0.25">
      <c r="A34" s="8"/>
    </row>
  </sheetData>
  <mergeCells count="4">
    <mergeCell ref="D13:E13"/>
    <mergeCell ref="F13:G13"/>
    <mergeCell ref="D14:G14"/>
    <mergeCell ref="I14:L14"/>
  </mergeCells>
  <hyperlinks>
    <hyperlink ref="A5" location="Índice!A1" display="Índice/Contents" xr:uid="{F3B60BF3-883B-4906-9C87-02885D1265D9}"/>
  </hyperlinks>
  <pageMargins left="0.7" right="0.7" top="0.75" bottom="0.75" header="0.3" footer="0.3"/>
  <pageSetup paperSize="9" orientation="portrait" horizontalDpi="1200" verticalDpi="1200"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4DDA-0FBE-4576-8C03-942DA4E68DE8}">
  <sheetPr codeName="Sheet58">
    <tabColor theme="5" tint="0.89999084444715716"/>
  </sheetPr>
  <dimension ref="A5:Z34"/>
  <sheetViews>
    <sheetView showGridLines="0" showRowColHeaders="0" topLeftCell="A5" workbookViewId="0">
      <selection sqref="A1:XFD1048576"/>
    </sheetView>
  </sheetViews>
  <sheetFormatPr defaultRowHeight="15" x14ac:dyDescent="0.25"/>
  <cols>
    <col min="1" max="1" width="61.140625" customWidth="1"/>
    <col min="2" max="2" width="40.42578125" customWidth="1"/>
    <col min="3" max="3" width="16.42578125" customWidth="1"/>
    <col min="4" max="26" width="8.42578125" customWidth="1"/>
  </cols>
  <sheetData>
    <row r="5" spans="1:26" ht="36" customHeight="1" x14ac:dyDescent="0.25">
      <c r="A5" s="10" t="s">
        <v>3</v>
      </c>
    </row>
    <row r="6" spans="1:26" ht="18.75" x14ac:dyDescent="0.25">
      <c r="A6" s="6" t="s">
        <v>179</v>
      </c>
    </row>
    <row r="7" spans="1:26" x14ac:dyDescent="0.25">
      <c r="A7" s="78" t="str">
        <f>+Índice!A136</f>
        <v>Parte III. Políticas em análise: Juros e gestão da dívida pública em Portugal/Policy insights: Interest expenditure and public debt management in Portugal</v>
      </c>
    </row>
    <row r="8" spans="1:26" ht="18.75" x14ac:dyDescent="0.25">
      <c r="A8" s="6"/>
    </row>
    <row r="9" spans="1:26" x14ac:dyDescent="0.25">
      <c r="A9" s="7"/>
    </row>
    <row r="10" spans="1:26" x14ac:dyDescent="0.25">
      <c r="A10" t="s">
        <v>972</v>
      </c>
    </row>
    <row r="11" spans="1:26" x14ac:dyDescent="0.25">
      <c r="A11" s="8" t="s">
        <v>973</v>
      </c>
    </row>
    <row r="12" spans="1:26" x14ac:dyDescent="0.25">
      <c r="A12" s="8"/>
    </row>
    <row r="13" spans="1:26" x14ac:dyDescent="0.25">
      <c r="A13" s="8"/>
      <c r="C13" s="9" t="s">
        <v>2</v>
      </c>
      <c r="D13" s="46"/>
      <c r="E13" s="417"/>
      <c r="F13" s="417"/>
    </row>
    <row r="14" spans="1:26" x14ac:dyDescent="0.25">
      <c r="A14" s="8"/>
      <c r="C14" s="300"/>
      <c r="D14" s="300"/>
      <c r="E14" s="300"/>
      <c r="F14" s="300"/>
    </row>
    <row r="15" spans="1:26" x14ac:dyDescent="0.25">
      <c r="A15" s="8"/>
      <c r="C15" s="117"/>
      <c r="D15" s="117">
        <v>2001</v>
      </c>
      <c r="E15" s="117">
        <f t="shared" ref="E15:Z15" si="0">+D15+1</f>
        <v>2002</v>
      </c>
      <c r="F15" s="117">
        <f t="shared" si="0"/>
        <v>2003</v>
      </c>
      <c r="G15" s="117">
        <f t="shared" si="0"/>
        <v>2004</v>
      </c>
      <c r="H15" s="117">
        <f t="shared" si="0"/>
        <v>2005</v>
      </c>
      <c r="I15" s="117">
        <f t="shared" si="0"/>
        <v>2006</v>
      </c>
      <c r="J15" s="117">
        <f t="shared" si="0"/>
        <v>2007</v>
      </c>
      <c r="K15" s="117">
        <f t="shared" si="0"/>
        <v>2008</v>
      </c>
      <c r="L15" s="117">
        <f t="shared" si="0"/>
        <v>2009</v>
      </c>
      <c r="M15" s="117">
        <f t="shared" si="0"/>
        <v>2010</v>
      </c>
      <c r="N15" s="117">
        <f t="shared" si="0"/>
        <v>2011</v>
      </c>
      <c r="O15" s="117">
        <f t="shared" si="0"/>
        <v>2012</v>
      </c>
      <c r="P15" s="117">
        <f t="shared" si="0"/>
        <v>2013</v>
      </c>
      <c r="Q15" s="117">
        <f t="shared" si="0"/>
        <v>2014</v>
      </c>
      <c r="R15" s="117">
        <f t="shared" si="0"/>
        <v>2015</v>
      </c>
      <c r="S15" s="117">
        <f t="shared" si="0"/>
        <v>2016</v>
      </c>
      <c r="T15" s="117">
        <f t="shared" si="0"/>
        <v>2017</v>
      </c>
      <c r="U15" s="117">
        <f t="shared" si="0"/>
        <v>2018</v>
      </c>
      <c r="V15" s="117">
        <f t="shared" si="0"/>
        <v>2019</v>
      </c>
      <c r="W15" s="117">
        <f t="shared" si="0"/>
        <v>2020</v>
      </c>
      <c r="X15" s="117">
        <f t="shared" si="0"/>
        <v>2021</v>
      </c>
      <c r="Y15" s="117">
        <f t="shared" si="0"/>
        <v>2022</v>
      </c>
      <c r="Z15" s="117">
        <f t="shared" si="0"/>
        <v>2023</v>
      </c>
    </row>
    <row r="16" spans="1:26" x14ac:dyDescent="0.25">
      <c r="A16" s="24" t="s">
        <v>960</v>
      </c>
      <c r="B16" s="23" t="s">
        <v>960</v>
      </c>
      <c r="C16" s="296" t="s">
        <v>4</v>
      </c>
      <c r="D16" s="302">
        <v>5.8345954552116766</v>
      </c>
      <c r="E16" s="302">
        <v>5.1925347846177541</v>
      </c>
      <c r="F16" s="302">
        <v>4.5387049929376637</v>
      </c>
      <c r="G16" s="16">
        <v>4.1884255796960144</v>
      </c>
      <c r="H16" s="16">
        <v>3.9853011857134888</v>
      </c>
      <c r="I16" s="16">
        <v>4.0386581221426949</v>
      </c>
      <c r="J16" s="16">
        <v>4.2502144903212011</v>
      </c>
      <c r="K16" s="16">
        <v>4.3781219270443605</v>
      </c>
      <c r="L16" s="16">
        <v>3.8674204427437981</v>
      </c>
      <c r="M16" s="16">
        <v>3.4299479268118485</v>
      </c>
      <c r="N16" s="16">
        <v>4.2274828329518437</v>
      </c>
      <c r="O16" s="16">
        <v>4.0717881617834664</v>
      </c>
      <c r="P16" s="16">
        <v>3.7925900820730125</v>
      </c>
      <c r="Q16" s="16">
        <v>3.7686051617832392</v>
      </c>
      <c r="R16" s="16">
        <v>3.5813887580044752</v>
      </c>
      <c r="S16" s="16">
        <v>3.2827266283514338</v>
      </c>
      <c r="T16" s="16">
        <v>3.0169447017836872</v>
      </c>
      <c r="U16" s="16">
        <v>2.7925615304167701</v>
      </c>
      <c r="V16" s="16">
        <v>2.5371849932099151</v>
      </c>
      <c r="W16" s="16">
        <v>2.3149683471512437</v>
      </c>
      <c r="X16" s="16">
        <v>1.9190380299221903</v>
      </c>
      <c r="Y16" s="16">
        <v>1.7333298648402573</v>
      </c>
      <c r="Z16" s="16">
        <v>2.111242930221358</v>
      </c>
    </row>
    <row r="17" spans="1:26" x14ac:dyDescent="0.25">
      <c r="A17" s="24" t="s">
        <v>962</v>
      </c>
      <c r="B17" s="23" t="s">
        <v>961</v>
      </c>
      <c r="C17" s="296" t="s">
        <v>4</v>
      </c>
      <c r="D17" s="303">
        <v>5.6071943622202856</v>
      </c>
      <c r="E17" s="303">
        <v>5.2461638894317639</v>
      </c>
      <c r="F17" s="303">
        <v>4.8763152292281156</v>
      </c>
      <c r="G17" s="91">
        <v>4.5666957357104287</v>
      </c>
      <c r="H17" s="91">
        <v>4.352536085903977</v>
      </c>
      <c r="I17" s="91">
        <v>4.2296595875675305</v>
      </c>
      <c r="J17" s="91">
        <v>4.4294380017578039</v>
      </c>
      <c r="K17" s="91">
        <v>4.5663035024900935</v>
      </c>
      <c r="L17" s="91">
        <v>3.9061732960207531</v>
      </c>
      <c r="M17" s="91">
        <v>3.5501100121588305</v>
      </c>
      <c r="N17" s="91">
        <v>3.5926130230998936</v>
      </c>
      <c r="O17" s="91">
        <v>3.4476607698247372</v>
      </c>
      <c r="P17" s="91">
        <v>3.0241619788265441</v>
      </c>
      <c r="Q17" s="91">
        <v>2.8057034814944273</v>
      </c>
      <c r="R17" s="91">
        <v>2.5160417378011655</v>
      </c>
      <c r="S17" s="91">
        <v>2.3322737606527264</v>
      </c>
      <c r="T17" s="91">
        <v>2.1899597877952099</v>
      </c>
      <c r="U17" s="91">
        <v>2.1117665357131719</v>
      </c>
      <c r="V17" s="91">
        <v>1.9202585380487289</v>
      </c>
      <c r="W17" s="91">
        <v>1.6746322695816207</v>
      </c>
      <c r="X17" s="91">
        <v>1.587566247349445</v>
      </c>
      <c r="Y17" s="91">
        <v>1.8975230139796286</v>
      </c>
      <c r="Z17" s="91">
        <v>1.9836005977159181</v>
      </c>
    </row>
    <row r="18" spans="1:26" x14ac:dyDescent="0.25">
      <c r="A18" s="24" t="s">
        <v>963</v>
      </c>
      <c r="B18" s="23" t="s">
        <v>965</v>
      </c>
      <c r="C18" s="296" t="s">
        <v>4</v>
      </c>
      <c r="D18" s="305">
        <v>4.2610008127249515</v>
      </c>
      <c r="E18" s="305">
        <v>3.6640298835420784</v>
      </c>
      <c r="F18" s="305">
        <v>3.4034786343139363</v>
      </c>
      <c r="G18" s="306">
        <v>2.6924457664495614</v>
      </c>
      <c r="H18" s="306">
        <v>2.6232330554548753</v>
      </c>
      <c r="I18" s="306">
        <v>3.0572401761236185</v>
      </c>
      <c r="J18" s="306">
        <v>3.7659141970685783</v>
      </c>
      <c r="K18" s="227">
        <v>4.0288090288090288</v>
      </c>
      <c r="L18" s="227">
        <v>2.4178114961383366</v>
      </c>
      <c r="M18" s="227">
        <v>1.2706480304955527</v>
      </c>
      <c r="N18" s="227">
        <v>1.5785721560240351</v>
      </c>
      <c r="O18" s="227">
        <v>1.8687950165466223</v>
      </c>
      <c r="P18" s="227">
        <v>0.79432624113475181</v>
      </c>
      <c r="Q18" s="227">
        <v>0.70313307827525595</v>
      </c>
      <c r="R18" s="227">
        <v>0.54462650828677406</v>
      </c>
      <c r="S18" s="227">
        <v>0.35621449889284679</v>
      </c>
      <c r="T18" s="227">
        <v>0.35876914585345659</v>
      </c>
      <c r="U18" s="227">
        <v>0.38638454461821525</v>
      </c>
      <c r="V18" s="227">
        <v>0.35724358371721349</v>
      </c>
      <c r="W18" s="227">
        <v>0.88059324176287179</v>
      </c>
      <c r="X18" s="227">
        <v>0.40436557788944727</v>
      </c>
      <c r="Y18" s="227">
        <v>0.51323755308575048</v>
      </c>
      <c r="Z18" s="227">
        <v>1.250026074803396</v>
      </c>
    </row>
    <row r="19" spans="1:26" x14ac:dyDescent="0.25">
      <c r="A19" s="24" t="s">
        <v>964</v>
      </c>
      <c r="B19" s="23" t="s">
        <v>966</v>
      </c>
      <c r="C19" s="296" t="s">
        <v>4</v>
      </c>
      <c r="D19" s="305">
        <v>9.8092493982055569</v>
      </c>
      <c r="E19" s="305">
        <v>8.9188965288708459</v>
      </c>
      <c r="F19" s="305">
        <v>7.5136408360416231</v>
      </c>
      <c r="G19" s="306">
        <v>6.6332555661165351</v>
      </c>
      <c r="H19" s="306">
        <v>6.0141366543251431</v>
      </c>
      <c r="I19" s="306">
        <v>5.6150115083028824</v>
      </c>
      <c r="J19" s="306">
        <v>5.8078263123038383</v>
      </c>
      <c r="K19" s="227">
        <v>7.3019482197302477</v>
      </c>
      <c r="L19" s="227">
        <v>6.9969131265618092</v>
      </c>
      <c r="M19" s="227">
        <v>6.7755861061300386</v>
      </c>
      <c r="N19" s="227">
        <v>5.6714182978849177</v>
      </c>
      <c r="O19" s="227">
        <v>5.6632815388716438</v>
      </c>
      <c r="P19" s="227">
        <v>4.7812047770848247</v>
      </c>
      <c r="Q19" s="227">
        <v>4.7774107468230929</v>
      </c>
      <c r="R19" s="227">
        <v>4.2626028380542209</v>
      </c>
      <c r="S19" s="227">
        <v>3.9266596717113336</v>
      </c>
      <c r="T19" s="227">
        <v>3.6501031249458378</v>
      </c>
      <c r="U19" s="227">
        <v>3.4002874469800544</v>
      </c>
      <c r="V19" s="227">
        <v>3.2426131647268681</v>
      </c>
      <c r="W19" s="227">
        <v>2.9876055451637149</v>
      </c>
      <c r="X19" s="227">
        <v>2.474367008367373</v>
      </c>
      <c r="Y19" s="227">
        <v>3.0918192882026005</v>
      </c>
      <c r="Z19" s="227">
        <v>2.8500578651188206</v>
      </c>
    </row>
    <row r="20" spans="1:26" x14ac:dyDescent="0.25">
      <c r="A20" s="23"/>
      <c r="B20" s="24"/>
      <c r="C20" s="85"/>
      <c r="D20" s="304"/>
      <c r="E20" s="304"/>
      <c r="F20" s="304"/>
      <c r="G20" s="304"/>
      <c r="H20" s="304"/>
      <c r="I20" s="304"/>
      <c r="J20" s="304"/>
      <c r="K20" s="304"/>
      <c r="L20" s="304"/>
      <c r="M20" s="304"/>
      <c r="N20" s="304"/>
      <c r="O20" s="304"/>
      <c r="P20" s="304"/>
      <c r="Q20" s="304"/>
      <c r="R20" s="304"/>
      <c r="S20" s="304"/>
      <c r="T20" s="304"/>
      <c r="U20" s="304"/>
      <c r="V20" s="304"/>
      <c r="W20" s="304"/>
      <c r="X20" s="304"/>
      <c r="Y20" s="304"/>
      <c r="Z20" s="304"/>
    </row>
    <row r="21" spans="1:26" x14ac:dyDescent="0.25">
      <c r="A21" s="25"/>
      <c r="B21" s="26"/>
      <c r="C21" s="27"/>
      <c r="D21" s="27"/>
      <c r="E21" s="27"/>
      <c r="F21" s="27"/>
      <c r="G21" s="27"/>
      <c r="H21" s="27"/>
      <c r="I21" s="27"/>
      <c r="J21" s="27"/>
      <c r="K21" s="16"/>
      <c r="L21" s="16"/>
      <c r="M21" s="16"/>
    </row>
    <row r="22" spans="1:26" x14ac:dyDescent="0.25">
      <c r="A22" s="28" t="s">
        <v>974</v>
      </c>
      <c r="B22" s="25"/>
      <c r="C22" s="19"/>
      <c r="D22" s="19"/>
      <c r="E22" s="19"/>
      <c r="F22" s="19"/>
      <c r="G22" s="19"/>
      <c r="H22" s="19"/>
      <c r="I22" s="19"/>
      <c r="J22" s="19"/>
    </row>
    <row r="23" spans="1:26" x14ac:dyDescent="0.25">
      <c r="A23" s="29" t="s">
        <v>975</v>
      </c>
      <c r="B23" s="25"/>
      <c r="C23" s="19"/>
      <c r="D23" s="19"/>
      <c r="E23" s="19"/>
      <c r="F23" s="19"/>
      <c r="G23" s="19"/>
      <c r="H23" s="19"/>
      <c r="I23" s="19"/>
      <c r="J23" s="19"/>
      <c r="K23" s="16"/>
      <c r="L23" s="16"/>
      <c r="M23" s="16"/>
    </row>
    <row r="24" spans="1:26" x14ac:dyDescent="0.25">
      <c r="A24" s="15"/>
      <c r="B24" s="13"/>
      <c r="E24" s="16"/>
      <c r="F24" s="16"/>
      <c r="G24" s="16"/>
      <c r="H24" s="16"/>
      <c r="J24" s="16"/>
      <c r="K24" s="16"/>
      <c r="L24" s="16"/>
      <c r="M24" s="16"/>
    </row>
    <row r="25" spans="1:26" x14ac:dyDescent="0.25">
      <c r="A25" s="11"/>
      <c r="B25" s="12"/>
    </row>
    <row r="26" spans="1:26" x14ac:dyDescent="0.25">
      <c r="A26" s="11"/>
      <c r="B26" s="12"/>
      <c r="E26" s="16"/>
      <c r="F26" s="16"/>
      <c r="G26" s="16"/>
      <c r="H26" s="16"/>
      <c r="J26" s="16"/>
      <c r="K26" s="16"/>
      <c r="L26" s="16"/>
      <c r="M26" s="16"/>
    </row>
    <row r="27" spans="1:26" x14ac:dyDescent="0.25">
      <c r="A27" s="11"/>
      <c r="B27" s="12"/>
      <c r="E27" s="16"/>
      <c r="F27" s="16"/>
      <c r="G27" s="16"/>
      <c r="H27" s="16"/>
      <c r="J27" s="16"/>
      <c r="K27" s="16"/>
      <c r="L27" s="16"/>
      <c r="M27" s="16"/>
    </row>
    <row r="28" spans="1:26" x14ac:dyDescent="0.25">
      <c r="A28" s="11"/>
      <c r="B28" s="12"/>
      <c r="E28" s="16"/>
      <c r="F28" s="16"/>
      <c r="G28" s="16"/>
      <c r="H28" s="16"/>
      <c r="J28" s="16"/>
      <c r="K28" s="16"/>
      <c r="L28" s="16"/>
      <c r="M28" s="16"/>
    </row>
    <row r="29" spans="1:26" x14ac:dyDescent="0.25">
      <c r="A29" s="11"/>
      <c r="B29" s="12"/>
    </row>
    <row r="30" spans="1:26" x14ac:dyDescent="0.25">
      <c r="A30" s="11"/>
      <c r="B30" s="8"/>
      <c r="E30" s="16"/>
      <c r="F30" s="16"/>
      <c r="G30" s="16"/>
      <c r="H30" s="16"/>
      <c r="J30" s="16"/>
      <c r="K30" s="16"/>
      <c r="L30" s="16"/>
      <c r="M30" s="16"/>
    </row>
    <row r="31" spans="1:26" x14ac:dyDescent="0.25">
      <c r="A31" s="11"/>
      <c r="B31" s="12"/>
      <c r="E31" s="16"/>
      <c r="F31" s="16"/>
      <c r="G31" s="16"/>
      <c r="H31" s="16"/>
      <c r="J31" s="16"/>
      <c r="K31" s="16"/>
      <c r="L31" s="16"/>
      <c r="M31" s="16"/>
    </row>
    <row r="34" spans="1:1" x14ac:dyDescent="0.25">
      <c r="A34" s="8"/>
    </row>
  </sheetData>
  <mergeCells count="1">
    <mergeCell ref="E13:F13"/>
  </mergeCells>
  <hyperlinks>
    <hyperlink ref="A5" location="Índice!A1" display="Índice/Contents" xr:uid="{08F77783-5030-40CE-BB41-A4414EF7A19B}"/>
  </hyperlinks>
  <pageMargins left="0.7" right="0.7" top="0.75" bottom="0.75" header="0.3" footer="0.3"/>
  <pageSetup paperSize="9" orientation="portrait" horizontalDpi="1200" verticalDpi="1200"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925B-C30E-4940-91BA-89F95755AD16}">
  <sheetPr codeName="Sheet59">
    <tabColor theme="5" tint="0.89999084444715716"/>
  </sheetPr>
  <dimension ref="A5:JS34"/>
  <sheetViews>
    <sheetView showGridLines="0" showRowColHeaders="0" workbookViewId="0">
      <selection sqref="A1:XFD1048576"/>
    </sheetView>
  </sheetViews>
  <sheetFormatPr defaultColWidth="7" defaultRowHeight="15" x14ac:dyDescent="0.25"/>
  <cols>
    <col min="1" max="1" width="61.140625" customWidth="1"/>
    <col min="2" max="3" width="40.42578125" customWidth="1"/>
  </cols>
  <sheetData>
    <row r="5" spans="1:279" ht="36" customHeight="1" x14ac:dyDescent="0.25">
      <c r="A5" s="10" t="s">
        <v>3</v>
      </c>
    </row>
    <row r="6" spans="1:279" ht="18.75" x14ac:dyDescent="0.25">
      <c r="A6" s="6" t="s">
        <v>179</v>
      </c>
    </row>
    <row r="7" spans="1:279" x14ac:dyDescent="0.25">
      <c r="A7" s="78" t="str">
        <f>+Índice!A136</f>
        <v>Parte III. Políticas em análise: Juros e gestão da dívida pública em Portugal/Policy insights: Interest expenditure and public debt management in Portugal</v>
      </c>
    </row>
    <row r="8" spans="1:279" ht="18.75" x14ac:dyDescent="0.25">
      <c r="A8" s="6"/>
    </row>
    <row r="9" spans="1:279" x14ac:dyDescent="0.25">
      <c r="A9" s="7"/>
    </row>
    <row r="10" spans="1:279" x14ac:dyDescent="0.25">
      <c r="A10" t="s">
        <v>1218</v>
      </c>
    </row>
    <row r="11" spans="1:279" x14ac:dyDescent="0.25">
      <c r="A11" s="8" t="s">
        <v>1027</v>
      </c>
    </row>
    <row r="12" spans="1:279" x14ac:dyDescent="0.25">
      <c r="A12" s="8"/>
    </row>
    <row r="13" spans="1:279" x14ac:dyDescent="0.25">
      <c r="A13" s="8"/>
      <c r="C13" s="9" t="s">
        <v>2</v>
      </c>
      <c r="D13" s="417"/>
      <c r="E13" s="417"/>
      <c r="F13" s="417"/>
      <c r="G13" s="417"/>
    </row>
    <row r="14" spans="1:279" x14ac:dyDescent="0.25">
      <c r="A14" s="8"/>
      <c r="D14" s="417"/>
      <c r="E14" s="417"/>
      <c r="F14" s="417"/>
      <c r="G14" s="417"/>
      <c r="I14" s="417"/>
      <c r="J14" s="417"/>
      <c r="K14" s="417"/>
      <c r="L14" s="417"/>
    </row>
    <row r="15" spans="1:279" x14ac:dyDescent="0.25">
      <c r="A15" s="8"/>
      <c r="D15" s="307">
        <v>36892</v>
      </c>
      <c r="E15" s="307">
        <v>36923</v>
      </c>
      <c r="F15" s="307">
        <v>36951</v>
      </c>
      <c r="G15" s="307">
        <v>36982</v>
      </c>
      <c r="H15" s="307">
        <v>37012</v>
      </c>
      <c r="I15" s="307">
        <v>37043</v>
      </c>
      <c r="J15" s="307">
        <v>37073</v>
      </c>
      <c r="K15" s="307">
        <v>37104</v>
      </c>
      <c r="L15" s="307">
        <v>37135</v>
      </c>
      <c r="M15" s="307">
        <v>37165</v>
      </c>
      <c r="N15" s="307">
        <v>37196</v>
      </c>
      <c r="O15" s="307">
        <v>37226</v>
      </c>
      <c r="P15" s="307">
        <v>37257</v>
      </c>
      <c r="Q15" s="307">
        <v>37288</v>
      </c>
      <c r="R15" s="307">
        <v>37316</v>
      </c>
      <c r="S15" s="307">
        <v>37347</v>
      </c>
      <c r="T15" s="307">
        <v>37377</v>
      </c>
      <c r="U15" s="307">
        <v>37408</v>
      </c>
      <c r="V15" s="307">
        <v>37438</v>
      </c>
      <c r="W15" s="307">
        <v>37469</v>
      </c>
      <c r="X15" s="307">
        <v>37500</v>
      </c>
      <c r="Y15" s="307">
        <v>37530</v>
      </c>
      <c r="Z15" s="307">
        <v>37561</v>
      </c>
      <c r="AA15" s="307">
        <v>37591</v>
      </c>
      <c r="AB15" s="307">
        <v>37622</v>
      </c>
      <c r="AC15" s="307">
        <v>37653</v>
      </c>
      <c r="AD15" s="307">
        <v>37681</v>
      </c>
      <c r="AE15" s="307">
        <v>37712</v>
      </c>
      <c r="AF15" s="307">
        <v>37742</v>
      </c>
      <c r="AG15" s="307">
        <v>37773</v>
      </c>
      <c r="AH15" s="307">
        <v>37803</v>
      </c>
      <c r="AI15" s="307">
        <v>37834</v>
      </c>
      <c r="AJ15" s="307">
        <v>37865</v>
      </c>
      <c r="AK15" s="307">
        <v>37895</v>
      </c>
      <c r="AL15" s="307">
        <v>37926</v>
      </c>
      <c r="AM15" s="307">
        <v>37956</v>
      </c>
      <c r="AN15" s="307">
        <v>37987</v>
      </c>
      <c r="AO15" s="307">
        <v>38018</v>
      </c>
      <c r="AP15" s="307">
        <v>38047</v>
      </c>
      <c r="AQ15" s="307">
        <v>38078</v>
      </c>
      <c r="AR15" s="307">
        <v>38108</v>
      </c>
      <c r="AS15" s="307">
        <v>38139</v>
      </c>
      <c r="AT15" s="307">
        <v>38169</v>
      </c>
      <c r="AU15" s="307">
        <v>38200</v>
      </c>
      <c r="AV15" s="307">
        <v>38231</v>
      </c>
      <c r="AW15" s="307">
        <v>38261</v>
      </c>
      <c r="AX15" s="307">
        <v>38292</v>
      </c>
      <c r="AY15" s="307">
        <v>38322</v>
      </c>
      <c r="AZ15" s="307">
        <v>38353</v>
      </c>
      <c r="BA15" s="307">
        <v>38384</v>
      </c>
      <c r="BB15" s="307">
        <v>38412</v>
      </c>
      <c r="BC15" s="307">
        <v>38443</v>
      </c>
      <c r="BD15" s="307">
        <v>38473</v>
      </c>
      <c r="BE15" s="307">
        <v>38504</v>
      </c>
      <c r="BF15" s="307">
        <v>38534</v>
      </c>
      <c r="BG15" s="307">
        <v>38565</v>
      </c>
      <c r="BH15" s="307">
        <v>38596</v>
      </c>
      <c r="BI15" s="307">
        <v>38626</v>
      </c>
      <c r="BJ15" s="307">
        <v>38657</v>
      </c>
      <c r="BK15" s="307">
        <v>38687</v>
      </c>
      <c r="BL15" s="307">
        <v>38718</v>
      </c>
      <c r="BM15" s="307">
        <v>38749</v>
      </c>
      <c r="BN15" s="307">
        <v>38777</v>
      </c>
      <c r="BO15" s="307">
        <v>38808</v>
      </c>
      <c r="BP15" s="307">
        <v>38838</v>
      </c>
      <c r="BQ15" s="307">
        <v>38869</v>
      </c>
      <c r="BR15" s="307">
        <v>38899</v>
      </c>
      <c r="BS15" s="307">
        <v>38930</v>
      </c>
      <c r="BT15" s="307">
        <v>38961</v>
      </c>
      <c r="BU15" s="307">
        <v>38991</v>
      </c>
      <c r="BV15" s="307">
        <v>39022</v>
      </c>
      <c r="BW15" s="307">
        <v>39052</v>
      </c>
      <c r="BX15" s="307">
        <v>39083</v>
      </c>
      <c r="BY15" s="307">
        <v>39114</v>
      </c>
      <c r="BZ15" s="307">
        <v>39142</v>
      </c>
      <c r="CA15" s="307">
        <v>39173</v>
      </c>
      <c r="CB15" s="307">
        <v>39203</v>
      </c>
      <c r="CC15" s="307">
        <v>39234</v>
      </c>
      <c r="CD15" s="307">
        <v>39264</v>
      </c>
      <c r="CE15" s="307">
        <v>39295</v>
      </c>
      <c r="CF15" s="307">
        <v>39326</v>
      </c>
      <c r="CG15" s="307">
        <v>39356</v>
      </c>
      <c r="CH15" s="307">
        <v>39387</v>
      </c>
      <c r="CI15" s="307">
        <v>39417</v>
      </c>
      <c r="CJ15" s="307">
        <v>39448</v>
      </c>
      <c r="CK15" s="307">
        <v>39479</v>
      </c>
      <c r="CL15" s="307">
        <v>39508</v>
      </c>
      <c r="CM15" s="307">
        <v>39539</v>
      </c>
      <c r="CN15" s="307">
        <v>39569</v>
      </c>
      <c r="CO15" s="307">
        <v>39600</v>
      </c>
      <c r="CP15" s="307">
        <v>39630</v>
      </c>
      <c r="CQ15" s="307">
        <v>39661</v>
      </c>
      <c r="CR15" s="307">
        <v>39692</v>
      </c>
      <c r="CS15" s="307">
        <v>39722</v>
      </c>
      <c r="CT15" s="307">
        <v>39753</v>
      </c>
      <c r="CU15" s="307">
        <v>39783</v>
      </c>
      <c r="CV15" s="307">
        <v>39814</v>
      </c>
      <c r="CW15" s="307">
        <v>39845</v>
      </c>
      <c r="CX15" s="307">
        <v>39873</v>
      </c>
      <c r="CY15" s="307">
        <v>39904</v>
      </c>
      <c r="CZ15" s="307">
        <v>39934</v>
      </c>
      <c r="DA15" s="307">
        <v>39965</v>
      </c>
      <c r="DB15" s="307">
        <v>39995</v>
      </c>
      <c r="DC15" s="307">
        <v>40026</v>
      </c>
      <c r="DD15" s="307">
        <v>40057</v>
      </c>
      <c r="DE15" s="307">
        <v>40087</v>
      </c>
      <c r="DF15" s="307">
        <v>40118</v>
      </c>
      <c r="DG15" s="307">
        <v>40148</v>
      </c>
      <c r="DH15" s="307">
        <v>40179</v>
      </c>
      <c r="DI15" s="307">
        <v>40210</v>
      </c>
      <c r="DJ15" s="307">
        <v>40238</v>
      </c>
      <c r="DK15" s="307">
        <v>40269</v>
      </c>
      <c r="DL15" s="307">
        <v>40299</v>
      </c>
      <c r="DM15" s="307">
        <v>40330</v>
      </c>
      <c r="DN15" s="307">
        <v>40360</v>
      </c>
      <c r="DO15" s="307">
        <v>40391</v>
      </c>
      <c r="DP15" s="307">
        <v>40422</v>
      </c>
      <c r="DQ15" s="307">
        <v>40452</v>
      </c>
      <c r="DR15" s="307">
        <v>40483</v>
      </c>
      <c r="DS15" s="307">
        <v>40513</v>
      </c>
      <c r="DT15" s="307">
        <v>40544</v>
      </c>
      <c r="DU15" s="307">
        <v>40575</v>
      </c>
      <c r="DV15" s="307">
        <v>40603</v>
      </c>
      <c r="DW15" s="307">
        <v>40634</v>
      </c>
      <c r="DX15" s="307">
        <v>40664</v>
      </c>
      <c r="DY15" s="307">
        <v>40695</v>
      </c>
      <c r="DZ15" s="307">
        <v>40725</v>
      </c>
      <c r="EA15" s="307">
        <v>40756</v>
      </c>
      <c r="EB15" s="307">
        <v>40787</v>
      </c>
      <c r="EC15" s="307">
        <v>40817</v>
      </c>
      <c r="ED15" s="307">
        <v>40848</v>
      </c>
      <c r="EE15" s="307">
        <v>40878</v>
      </c>
      <c r="EF15" s="307">
        <v>40909</v>
      </c>
      <c r="EG15" s="307">
        <v>40940</v>
      </c>
      <c r="EH15" s="307">
        <v>40969</v>
      </c>
      <c r="EI15" s="307">
        <v>41000</v>
      </c>
      <c r="EJ15" s="307">
        <v>41030</v>
      </c>
      <c r="EK15" s="307">
        <v>41061</v>
      </c>
      <c r="EL15" s="307">
        <v>41091</v>
      </c>
      <c r="EM15" s="307">
        <v>41122</v>
      </c>
      <c r="EN15" s="307">
        <v>41153</v>
      </c>
      <c r="EO15" s="307">
        <v>41183</v>
      </c>
      <c r="EP15" s="307">
        <v>41214</v>
      </c>
      <c r="EQ15" s="307">
        <v>41244</v>
      </c>
      <c r="ER15" s="307">
        <v>41275</v>
      </c>
      <c r="ES15" s="307">
        <v>41306</v>
      </c>
      <c r="ET15" s="307">
        <v>41334</v>
      </c>
      <c r="EU15" s="307">
        <v>41365</v>
      </c>
      <c r="EV15" s="307">
        <v>41395</v>
      </c>
      <c r="EW15" s="307">
        <v>41426</v>
      </c>
      <c r="EX15" s="307">
        <v>41456</v>
      </c>
      <c r="EY15" s="307">
        <v>41487</v>
      </c>
      <c r="EZ15" s="307">
        <v>41518</v>
      </c>
      <c r="FA15" s="307">
        <v>41548</v>
      </c>
      <c r="FB15" s="307">
        <v>41579</v>
      </c>
      <c r="FC15" s="307">
        <v>41609</v>
      </c>
      <c r="FD15" s="307">
        <v>41640</v>
      </c>
      <c r="FE15" s="307">
        <v>41671</v>
      </c>
      <c r="FF15" s="307">
        <v>41699</v>
      </c>
      <c r="FG15" s="307">
        <v>41730</v>
      </c>
      <c r="FH15" s="307">
        <v>41760</v>
      </c>
      <c r="FI15" s="307">
        <v>41791</v>
      </c>
      <c r="FJ15" s="307">
        <v>41821</v>
      </c>
      <c r="FK15" s="307">
        <v>41852</v>
      </c>
      <c r="FL15" s="307">
        <v>41883</v>
      </c>
      <c r="FM15" s="307">
        <v>41913</v>
      </c>
      <c r="FN15" s="307">
        <v>41944</v>
      </c>
      <c r="FO15" s="307">
        <v>41974</v>
      </c>
      <c r="FP15" s="307">
        <v>42005</v>
      </c>
      <c r="FQ15" s="307">
        <v>42036</v>
      </c>
      <c r="FR15" s="307">
        <v>42064</v>
      </c>
      <c r="FS15" s="307">
        <v>42095</v>
      </c>
      <c r="FT15" s="307">
        <v>42125</v>
      </c>
      <c r="FU15" s="307">
        <v>42156</v>
      </c>
      <c r="FV15" s="307">
        <v>42186</v>
      </c>
      <c r="FW15" s="307">
        <v>42217</v>
      </c>
      <c r="FX15" s="307">
        <v>42248</v>
      </c>
      <c r="FY15" s="307">
        <v>42278</v>
      </c>
      <c r="FZ15" s="307">
        <v>42309</v>
      </c>
      <c r="GA15" s="307">
        <v>42339</v>
      </c>
      <c r="GB15" s="307">
        <v>42370</v>
      </c>
      <c r="GC15" s="307">
        <v>42401</v>
      </c>
      <c r="GD15" s="307">
        <v>42430</v>
      </c>
      <c r="GE15" s="307">
        <v>42461</v>
      </c>
      <c r="GF15" s="307">
        <v>42491</v>
      </c>
      <c r="GG15" s="307">
        <v>42522</v>
      </c>
      <c r="GH15" s="307">
        <v>42552</v>
      </c>
      <c r="GI15" s="307">
        <v>42583</v>
      </c>
      <c r="GJ15" s="307">
        <v>42614</v>
      </c>
      <c r="GK15" s="307">
        <v>42644</v>
      </c>
      <c r="GL15" s="307">
        <v>42675</v>
      </c>
      <c r="GM15" s="307">
        <v>42705</v>
      </c>
      <c r="GN15" s="307">
        <v>42736</v>
      </c>
      <c r="GO15" s="307">
        <v>42767</v>
      </c>
      <c r="GP15" s="307">
        <v>42795</v>
      </c>
      <c r="GQ15" s="307">
        <v>42826</v>
      </c>
      <c r="GR15" s="307">
        <v>42856</v>
      </c>
      <c r="GS15" s="307">
        <v>42887</v>
      </c>
      <c r="GT15" s="307">
        <v>42917</v>
      </c>
      <c r="GU15" s="307">
        <v>42948</v>
      </c>
      <c r="GV15" s="307">
        <v>42979</v>
      </c>
      <c r="GW15" s="307">
        <v>43009</v>
      </c>
      <c r="GX15" s="307">
        <v>43040</v>
      </c>
      <c r="GY15" s="307">
        <v>43070</v>
      </c>
      <c r="GZ15" s="307">
        <v>43101</v>
      </c>
      <c r="HA15" s="307">
        <v>43132</v>
      </c>
      <c r="HB15" s="307">
        <v>43160</v>
      </c>
      <c r="HC15" s="307">
        <v>43191</v>
      </c>
      <c r="HD15" s="307">
        <v>43221</v>
      </c>
      <c r="HE15" s="307">
        <v>43252</v>
      </c>
      <c r="HF15" s="307">
        <v>43282</v>
      </c>
      <c r="HG15" s="307">
        <v>43313</v>
      </c>
      <c r="HH15" s="307">
        <v>43344</v>
      </c>
      <c r="HI15" s="307">
        <v>43374</v>
      </c>
      <c r="HJ15" s="307">
        <v>43405</v>
      </c>
      <c r="HK15" s="307">
        <v>43435</v>
      </c>
      <c r="HL15" s="307">
        <v>43466</v>
      </c>
      <c r="HM15" s="307">
        <v>43497</v>
      </c>
      <c r="HN15" s="307">
        <v>43525</v>
      </c>
      <c r="HO15" s="307">
        <v>43556</v>
      </c>
      <c r="HP15" s="307">
        <v>43586</v>
      </c>
      <c r="HQ15" s="307">
        <v>43617</v>
      </c>
      <c r="HR15" s="307">
        <v>43647</v>
      </c>
      <c r="HS15" s="307">
        <v>43678</v>
      </c>
      <c r="HT15" s="307">
        <v>43709</v>
      </c>
      <c r="HU15" s="307">
        <v>43739</v>
      </c>
      <c r="HV15" s="307">
        <v>43770</v>
      </c>
      <c r="HW15" s="307">
        <v>43800</v>
      </c>
      <c r="HX15" s="307">
        <v>43831</v>
      </c>
      <c r="HY15" s="307">
        <v>43862</v>
      </c>
      <c r="HZ15" s="307">
        <v>43891</v>
      </c>
      <c r="IA15" s="307">
        <v>43922</v>
      </c>
      <c r="IB15" s="307">
        <v>43952</v>
      </c>
      <c r="IC15" s="307">
        <v>43983</v>
      </c>
      <c r="ID15" s="307">
        <v>44013</v>
      </c>
      <c r="IE15" s="307">
        <v>44044</v>
      </c>
      <c r="IF15" s="307">
        <v>44075</v>
      </c>
      <c r="IG15" s="307">
        <v>44105</v>
      </c>
      <c r="IH15" s="307">
        <v>44136</v>
      </c>
      <c r="II15" s="307">
        <v>44166</v>
      </c>
      <c r="IJ15" s="307">
        <v>44197</v>
      </c>
      <c r="IK15" s="307">
        <v>44228</v>
      </c>
      <c r="IL15" s="307">
        <v>44256</v>
      </c>
      <c r="IM15" s="307">
        <v>44287</v>
      </c>
      <c r="IN15" s="307">
        <v>44317</v>
      </c>
      <c r="IO15" s="307">
        <v>44348</v>
      </c>
      <c r="IP15" s="307">
        <v>44378</v>
      </c>
      <c r="IQ15" s="307">
        <v>44409</v>
      </c>
      <c r="IR15" s="307">
        <v>44440</v>
      </c>
      <c r="IS15" s="307">
        <v>44470</v>
      </c>
      <c r="IT15" s="307">
        <v>44501</v>
      </c>
      <c r="IU15" s="307">
        <v>44531</v>
      </c>
      <c r="IV15" s="307">
        <v>44562</v>
      </c>
      <c r="IW15" s="307">
        <v>44593</v>
      </c>
      <c r="IX15" s="307">
        <v>44621</v>
      </c>
      <c r="IY15" s="307">
        <v>44652</v>
      </c>
      <c r="IZ15" s="307">
        <v>44682</v>
      </c>
      <c r="JA15" s="307">
        <v>44713</v>
      </c>
      <c r="JB15" s="307">
        <v>44743</v>
      </c>
      <c r="JC15" s="307">
        <v>44774</v>
      </c>
      <c r="JD15" s="307">
        <v>44805</v>
      </c>
      <c r="JE15" s="307">
        <v>44835</v>
      </c>
      <c r="JF15" s="307">
        <v>44866</v>
      </c>
      <c r="JG15" s="307">
        <v>44896</v>
      </c>
      <c r="JH15" s="307">
        <v>44927</v>
      </c>
      <c r="JI15" s="307">
        <v>44958</v>
      </c>
      <c r="JJ15" s="307">
        <v>44986</v>
      </c>
      <c r="JK15" s="307">
        <v>45017</v>
      </c>
      <c r="JL15" s="307">
        <v>45047</v>
      </c>
      <c r="JM15" s="307">
        <v>45078</v>
      </c>
      <c r="JN15" s="307">
        <v>45108</v>
      </c>
      <c r="JO15" s="307">
        <v>45139</v>
      </c>
      <c r="JP15" s="307">
        <v>45170</v>
      </c>
      <c r="JQ15" s="307">
        <v>45200</v>
      </c>
      <c r="JR15" s="307">
        <v>45231</v>
      </c>
      <c r="JS15" s="307">
        <v>45261</v>
      </c>
    </row>
    <row r="16" spans="1:279" x14ac:dyDescent="0.25">
      <c r="A16" s="24" t="s">
        <v>960</v>
      </c>
      <c r="B16" t="s">
        <v>960</v>
      </c>
      <c r="C16" t="s">
        <v>4</v>
      </c>
      <c r="D16" s="16">
        <v>5.1697264822134379</v>
      </c>
      <c r="E16" s="16">
        <v>5.1658499999999981</v>
      </c>
      <c r="F16" s="16">
        <v>5.1184500000000002</v>
      </c>
      <c r="G16" s="16">
        <v>5.2765238095238089</v>
      </c>
      <c r="H16" s="16">
        <v>5.4463043478260875</v>
      </c>
      <c r="I16" s="16">
        <v>5.3949999999999996</v>
      </c>
      <c r="J16" s="16">
        <v>5.4039090909090906</v>
      </c>
      <c r="K16" s="16">
        <v>5.2019130434782621</v>
      </c>
      <c r="L16" s="16">
        <v>5.1892249999999986</v>
      </c>
      <c r="M16" s="16">
        <v>4.9299031620553375</v>
      </c>
      <c r="N16" s="16">
        <v>4.7789545454545443</v>
      </c>
      <c r="O16" s="16">
        <v>5.0335285714285725</v>
      </c>
      <c r="P16" s="16">
        <v>5.0765086956521728</v>
      </c>
      <c r="Q16" s="16">
        <v>5.1514602631578956</v>
      </c>
      <c r="R16" s="16">
        <v>5.3991857142857143</v>
      </c>
      <c r="S16" s="16">
        <v>5.3967272727272748</v>
      </c>
      <c r="T16" s="16">
        <v>5.4060739130434801</v>
      </c>
      <c r="U16" s="16">
        <v>5.2681549999999993</v>
      </c>
      <c r="V16" s="16">
        <v>5.1260217391304312</v>
      </c>
      <c r="W16" s="16">
        <v>4.8594818181818189</v>
      </c>
      <c r="X16" s="16">
        <v>4.6377285714285703</v>
      </c>
      <c r="Y16" s="16">
        <v>4.715026086956521</v>
      </c>
      <c r="Z16" s="16">
        <v>4.6638428571428578</v>
      </c>
      <c r="AA16" s="16">
        <v>4.4596045454545452</v>
      </c>
      <c r="AB16" s="16">
        <v>4.2595217391304363</v>
      </c>
      <c r="AC16" s="16">
        <v>4.0380600000000006</v>
      </c>
      <c r="AD16" s="16">
        <v>4.1629095238095228</v>
      </c>
      <c r="AE16" s="16">
        <v>4.2884045454545436</v>
      </c>
      <c r="AF16" s="16">
        <v>3.9701434782608684</v>
      </c>
      <c r="AG16" s="16">
        <v>3.7902478095238084</v>
      </c>
      <c r="AH16" s="16">
        <v>4.0901601739130422</v>
      </c>
      <c r="AI16" s="16">
        <v>4.2672857142857152</v>
      </c>
      <c r="AJ16" s="16">
        <v>4.2949999999999982</v>
      </c>
      <c r="AK16" s="16">
        <v>4.373856521739131</v>
      </c>
      <c r="AL16" s="16">
        <v>4.5442400000000012</v>
      </c>
      <c r="AM16" s="16">
        <v>4.4729391304347832</v>
      </c>
      <c r="AN16" s="16">
        <v>4.3507909090909083</v>
      </c>
      <c r="AO16" s="16">
        <v>4.290770000000002</v>
      </c>
      <c r="AP16" s="16">
        <v>4.1086521739130442</v>
      </c>
      <c r="AQ16" s="16">
        <v>4.2739545454545453</v>
      </c>
      <c r="AR16" s="16">
        <v>4.4148571428571435</v>
      </c>
      <c r="AS16" s="16">
        <v>4.4695909090909094</v>
      </c>
      <c r="AT16" s="16">
        <v>4.3549999999999995</v>
      </c>
      <c r="AU16" s="16">
        <v>4.189181818181817</v>
      </c>
      <c r="AV16" s="16">
        <v>4.1139090909090896</v>
      </c>
      <c r="AW16" s="16">
        <v>3.9885714285714293</v>
      </c>
      <c r="AX16" s="16">
        <v>3.8625454545454541</v>
      </c>
      <c r="AY16" s="16">
        <v>3.6625217391304332</v>
      </c>
      <c r="AZ16" s="16">
        <v>3.5929523809523816</v>
      </c>
      <c r="BA16" s="16">
        <v>3.5786499999999992</v>
      </c>
      <c r="BB16" s="16">
        <v>3.7311304347826093</v>
      </c>
      <c r="BC16" s="16">
        <v>3.5640476190476185</v>
      </c>
      <c r="BD16" s="16">
        <v>3.3994090909090904</v>
      </c>
      <c r="BE16" s="16">
        <v>3.2536818181818181</v>
      </c>
      <c r="BF16" s="16">
        <v>3.3947023809523809</v>
      </c>
      <c r="BG16" s="16">
        <v>3.3911739130434775</v>
      </c>
      <c r="BH16" s="16">
        <v>3.229727272727275</v>
      </c>
      <c r="BI16" s="16">
        <v>3.3775238095238076</v>
      </c>
      <c r="BJ16" s="16">
        <v>3.5710909090909086</v>
      </c>
      <c r="BK16" s="16">
        <v>3.4552727272727277</v>
      </c>
      <c r="BL16" s="16">
        <v>3.4299545454545455</v>
      </c>
      <c r="BM16" s="16">
        <v>3.5823375000000004</v>
      </c>
      <c r="BN16" s="16">
        <v>3.7601304347826088</v>
      </c>
      <c r="BO16" s="16">
        <v>4.0261111111111099</v>
      </c>
      <c r="BP16" s="16">
        <v>4.0689545454545453</v>
      </c>
      <c r="BQ16" s="16">
        <v>4.0901363636363639</v>
      </c>
      <c r="BR16" s="16">
        <v>4.1441172161172153</v>
      </c>
      <c r="BS16" s="16">
        <v>4.0589130434782614</v>
      </c>
      <c r="BT16" s="16">
        <v>3.9224285714285712</v>
      </c>
      <c r="BU16" s="16">
        <v>3.9735909090909081</v>
      </c>
      <c r="BV16" s="16">
        <v>3.8879090909090923</v>
      </c>
      <c r="BW16" s="16">
        <v>3.9583809523809532</v>
      </c>
      <c r="BX16" s="16">
        <v>4.1666086956521724</v>
      </c>
      <c r="BY16" s="16">
        <v>4.1923000000000004</v>
      </c>
      <c r="BZ16" s="16">
        <v>4.0973181818181814</v>
      </c>
      <c r="CA16" s="16">
        <v>4.2983082706766913</v>
      </c>
      <c r="CB16" s="16">
        <v>4.4042173913043481</v>
      </c>
      <c r="CC16" s="16">
        <v>4.7299523809523816</v>
      </c>
      <c r="CD16" s="16">
        <v>4.7300909090909098</v>
      </c>
      <c r="CE16" s="16">
        <v>4.5530869565217404</v>
      </c>
      <c r="CF16" s="16">
        <v>4.4943999999999988</v>
      </c>
      <c r="CG16" s="16">
        <v>4.5133478260869566</v>
      </c>
      <c r="CH16" s="16">
        <v>4.3738636363636347</v>
      </c>
      <c r="CI16" s="16">
        <v>4.487000000000001</v>
      </c>
      <c r="CJ16" s="16">
        <v>4.3152964426877478</v>
      </c>
      <c r="CK16" s="16">
        <v>4.2565714285714282</v>
      </c>
      <c r="CL16" s="16">
        <v>4.3102166666666655</v>
      </c>
      <c r="CM16" s="16">
        <v>4.5250454545454541</v>
      </c>
      <c r="CN16" s="16">
        <v>4.6147272727272721</v>
      </c>
      <c r="CO16" s="16">
        <v>4.9706190476190475</v>
      </c>
      <c r="CP16" s="16">
        <v>4.9531304347826088</v>
      </c>
      <c r="CQ16" s="16">
        <v>4.6861428571428565</v>
      </c>
      <c r="CR16" s="16">
        <v>4.6620909090909093</v>
      </c>
      <c r="CS16" s="16">
        <v>4.5634782608695641</v>
      </c>
      <c r="CT16" s="16">
        <v>4.3509000000000002</v>
      </c>
      <c r="CU16" s="16">
        <v>4.0102629399585936</v>
      </c>
      <c r="CV16" s="16">
        <v>4.3105887445887427</v>
      </c>
      <c r="CW16" s="16">
        <v>4.5038999999999998</v>
      </c>
      <c r="CX16" s="16">
        <v>4.5484545454545451</v>
      </c>
      <c r="CY16" s="16">
        <v>4.5134772727272727</v>
      </c>
      <c r="CZ16" s="16">
        <v>4.3017357142857149</v>
      </c>
      <c r="DA16" s="16">
        <v>4.4937272727272735</v>
      </c>
      <c r="DB16" s="16">
        <v>4.238999999999999</v>
      </c>
      <c r="DC16" s="16">
        <v>3.9422857142857128</v>
      </c>
      <c r="DD16" s="16">
        <v>3.9224090909090914</v>
      </c>
      <c r="DE16" s="16">
        <v>3.8362272727272733</v>
      </c>
      <c r="DF16" s="16">
        <v>3.7950952380952385</v>
      </c>
      <c r="DG16" s="16">
        <v>3.9087786561264837</v>
      </c>
      <c r="DH16" s="16">
        <v>4.1551642857142861</v>
      </c>
      <c r="DI16" s="16">
        <v>4.4726500000000016</v>
      </c>
      <c r="DJ16" s="16">
        <v>4.2072173913043471</v>
      </c>
      <c r="DK16" s="16">
        <v>4.6802164502164514</v>
      </c>
      <c r="DL16" s="16">
        <v>4.9043333333333319</v>
      </c>
      <c r="DM16" s="16">
        <v>5.3999999999999995</v>
      </c>
      <c r="DN16" s="16">
        <v>5.4064545454545456</v>
      </c>
      <c r="DO16" s="16">
        <v>5.2108254545454553</v>
      </c>
      <c r="DP16" s="16">
        <v>6.0055594405594421</v>
      </c>
      <c r="DQ16" s="16">
        <v>5.9578388278388283</v>
      </c>
      <c r="DR16" s="16">
        <v>6.7571688311688316</v>
      </c>
      <c r="DS16" s="16">
        <v>6.3929689440993798</v>
      </c>
      <c r="DT16" s="16">
        <v>6.8403476190476189</v>
      </c>
      <c r="DU16" s="16">
        <v>7.2006129629629605</v>
      </c>
      <c r="DV16" s="16">
        <v>7.527272863568216</v>
      </c>
      <c r="DW16" s="16">
        <v>8.9316309523809529</v>
      </c>
      <c r="DX16" s="16">
        <v>9.2626011730205278</v>
      </c>
      <c r="DY16" s="16">
        <v>10.41481818181818</v>
      </c>
      <c r="DZ16" s="16">
        <v>11.529904761904763</v>
      </c>
      <c r="EA16" s="16">
        <v>10.471701449275361</v>
      </c>
      <c r="EB16" s="16">
        <v>10.947136363636364</v>
      </c>
      <c r="EC16" s="16">
        <v>11.432613756613758</v>
      </c>
      <c r="ED16" s="16">
        <v>11.546494949494949</v>
      </c>
      <c r="EE16" s="16">
        <v>12.689393939393941</v>
      </c>
      <c r="EF16" s="16">
        <v>13.502482404692081</v>
      </c>
      <c r="EG16" s="16">
        <v>12.56071592775041</v>
      </c>
      <c r="EH16" s="16">
        <v>12.711705278592373</v>
      </c>
      <c r="EI16" s="16">
        <v>11.594526190476191</v>
      </c>
      <c r="EJ16" s="16">
        <v>11.356018232819075</v>
      </c>
      <c r="EK16" s="16">
        <v>10.394609523809526</v>
      </c>
      <c r="EL16" s="16">
        <v>10.416961538461539</v>
      </c>
      <c r="EM16" s="16">
        <v>9.6806247987117562</v>
      </c>
      <c r="EN16" s="16">
        <v>8.4458599999999997</v>
      </c>
      <c r="EO16" s="16">
        <v>8.0330869565217391</v>
      </c>
      <c r="EP16" s="16">
        <v>8.1958881118881113</v>
      </c>
      <c r="EQ16" s="16">
        <v>7.1651683006535958</v>
      </c>
      <c r="ER16" s="16">
        <v>6.1565583764062026</v>
      </c>
      <c r="ES16" s="16">
        <v>6.3059749999999992</v>
      </c>
      <c r="ET16" s="16">
        <v>6.0526876190476182</v>
      </c>
      <c r="EU16" s="16">
        <v>6.0840854545454546</v>
      </c>
      <c r="EV16" s="16">
        <v>5.4055434782608689</v>
      </c>
      <c r="EW16" s="16">
        <v>6.2491899999999987</v>
      </c>
      <c r="EX16" s="16">
        <v>6.716498327759199</v>
      </c>
      <c r="EY16" s="16">
        <v>6.4604478114478106</v>
      </c>
      <c r="EZ16" s="16">
        <v>6.9700609523809511</v>
      </c>
      <c r="FA16" s="16">
        <v>6.2472705314009644</v>
      </c>
      <c r="FB16" s="16">
        <v>5.9096208791208777</v>
      </c>
      <c r="FC16" s="16">
        <v>5.9829128787878787</v>
      </c>
      <c r="FD16" s="16">
        <v>5.2723043478260863</v>
      </c>
      <c r="FE16" s="16">
        <v>4.9141499999999994</v>
      </c>
      <c r="FF16" s="16">
        <v>4.4143882783882793</v>
      </c>
      <c r="FG16" s="16">
        <v>3.8032436363636366</v>
      </c>
      <c r="FH16" s="16">
        <v>3.6397037037037032</v>
      </c>
      <c r="FI16" s="16">
        <v>3.4878990476190475</v>
      </c>
      <c r="FJ16" s="16">
        <v>3.6743800322061189</v>
      </c>
      <c r="FK16" s="16">
        <v>3.4620476190476186</v>
      </c>
      <c r="FL16" s="16">
        <v>3.168300699300699</v>
      </c>
      <c r="FM16" s="16">
        <v>3.1975819397993308</v>
      </c>
      <c r="FN16" s="16">
        <v>3.1244000000000001</v>
      </c>
      <c r="FO16" s="16">
        <v>2.7832608695652183</v>
      </c>
      <c r="FP16" s="16">
        <v>2.5652927272727273</v>
      </c>
      <c r="FQ16" s="16">
        <v>2.3223499999999997</v>
      </c>
      <c r="FR16" s="16">
        <v>1.7270387205387205</v>
      </c>
      <c r="FS16" s="16">
        <v>1.8326719367588933</v>
      </c>
      <c r="FT16" s="16">
        <v>2.3801619047619047</v>
      </c>
      <c r="FU16" s="16">
        <v>2.9277272727272723</v>
      </c>
      <c r="FV16" s="16">
        <v>2.7190000000000012</v>
      </c>
      <c r="FW16" s="16">
        <v>2.5016190476190476</v>
      </c>
      <c r="FX16" s="16">
        <v>2.5759545454545454</v>
      </c>
      <c r="FY16" s="16">
        <v>2.4045000000000001</v>
      </c>
      <c r="FZ16" s="16">
        <v>2.5665714285714287</v>
      </c>
      <c r="GA16" s="16">
        <v>2.4654308300395251</v>
      </c>
      <c r="GB16" s="16">
        <v>2.7402676190476196</v>
      </c>
      <c r="GC16" s="16">
        <v>3.3550952380952381</v>
      </c>
      <c r="GD16" s="16">
        <v>2.9803162055335966</v>
      </c>
      <c r="GE16" s="16">
        <v>3.1997142857142862</v>
      </c>
      <c r="GF16" s="16">
        <v>3.1228636363636362</v>
      </c>
      <c r="GG16" s="16">
        <v>3.1752409090909088</v>
      </c>
      <c r="GH16" s="16">
        <v>3.0355238095238093</v>
      </c>
      <c r="GI16" s="16">
        <v>2.891565217391304</v>
      </c>
      <c r="GJ16" s="16">
        <v>3.2405000000000004</v>
      </c>
      <c r="GK16" s="16">
        <v>3.3095238095238106</v>
      </c>
      <c r="GL16" s="16">
        <v>3.5000454545454538</v>
      </c>
      <c r="GM16" s="16">
        <v>3.736108225108226</v>
      </c>
      <c r="GN16" s="16">
        <v>3.9311818181818183</v>
      </c>
      <c r="GO16" s="16">
        <v>4.0298999999999996</v>
      </c>
      <c r="GP16" s="16">
        <v>4.0382608695652165</v>
      </c>
      <c r="GQ16" s="16">
        <v>3.7647500000000007</v>
      </c>
      <c r="GR16" s="16">
        <v>3.2833260869565208</v>
      </c>
      <c r="GS16" s="16">
        <v>2.9530909090909092</v>
      </c>
      <c r="GT16" s="16">
        <v>3.0075238095238088</v>
      </c>
      <c r="GU16" s="16">
        <v>2.8061304347826086</v>
      </c>
      <c r="GV16" s="16">
        <v>2.6094761904761903</v>
      </c>
      <c r="GW16" s="16">
        <v>2.3037727272727273</v>
      </c>
      <c r="GX16" s="16">
        <v>1.967727272727273</v>
      </c>
      <c r="GY16" s="16">
        <v>1.8162431077694232</v>
      </c>
      <c r="GZ16" s="16">
        <v>1.8989940711462454</v>
      </c>
      <c r="HA16" s="16">
        <v>2.0223999999999993</v>
      </c>
      <c r="HB16" s="16">
        <v>1.7775757575757578</v>
      </c>
      <c r="HC16" s="16">
        <v>1.6577857142857146</v>
      </c>
      <c r="HD16" s="16">
        <v>1.8234347826086963</v>
      </c>
      <c r="HE16" s="16">
        <v>1.8560476190476194</v>
      </c>
      <c r="HF16" s="16">
        <v>1.7427727272727271</v>
      </c>
      <c r="HG16" s="16">
        <v>1.8149565217391306</v>
      </c>
      <c r="HH16" s="16">
        <v>1.87365</v>
      </c>
      <c r="HI16" s="16">
        <v>1.9492608695652172</v>
      </c>
      <c r="HJ16" s="16">
        <v>1.9185454545454546</v>
      </c>
      <c r="HK16" s="16">
        <v>1.7145989974937341</v>
      </c>
      <c r="HL16" s="16">
        <v>1.7092292490118575</v>
      </c>
      <c r="HM16" s="16">
        <v>1.5630500000000001</v>
      </c>
      <c r="HN16" s="16">
        <v>1.3289523809523809</v>
      </c>
      <c r="HO16" s="16">
        <v>1.1882590909090911</v>
      </c>
      <c r="HP16" s="16">
        <v>1.0341403162055336</v>
      </c>
      <c r="HQ16" s="16">
        <v>0.59619999999999984</v>
      </c>
      <c r="HR16" s="16">
        <v>0.44556521739130411</v>
      </c>
      <c r="HS16" s="16">
        <v>0.18372727272727274</v>
      </c>
      <c r="HT16" s="16">
        <v>0.21057142857142874</v>
      </c>
      <c r="HU16" s="16">
        <v>0.18260869565217386</v>
      </c>
      <c r="HV16" s="16">
        <v>0.34195238095238095</v>
      </c>
      <c r="HW16" s="16">
        <v>0.39670952380952401</v>
      </c>
      <c r="HX16" s="16">
        <v>0.39077419354838705</v>
      </c>
      <c r="HY16" s="16">
        <v>0.28901379310344832</v>
      </c>
      <c r="HZ16" s="16">
        <v>0.72024633431085039</v>
      </c>
      <c r="IA16" s="16">
        <v>0.97124848484848514</v>
      </c>
      <c r="IB16" s="16">
        <v>0.79004915514592944</v>
      </c>
      <c r="IC16" s="16">
        <v>0.51928181818181818</v>
      </c>
      <c r="ID16" s="16">
        <v>0.39260589060308554</v>
      </c>
      <c r="IE16" s="16">
        <v>0.34350998463901677</v>
      </c>
      <c r="IF16" s="16">
        <v>0.30939090909090883</v>
      </c>
      <c r="IG16" s="16">
        <v>0.16968035190615838</v>
      </c>
      <c r="IH16" s="16">
        <v>5.9090476190476249E-2</v>
      </c>
      <c r="II16" s="16">
        <v>1.9680224403927138E-2</v>
      </c>
      <c r="IJ16" s="16">
        <v>2.4766129032258277E-2</v>
      </c>
      <c r="IK16" s="16">
        <v>0.16556428571428605</v>
      </c>
      <c r="IL16" s="16">
        <v>0.22828471248246851</v>
      </c>
      <c r="IM16" s="16">
        <v>0.35328333333333339</v>
      </c>
      <c r="IN16" s="16">
        <v>0.5269247311827957</v>
      </c>
      <c r="IO16" s="16">
        <v>0.42736363636363628</v>
      </c>
      <c r="IP16" s="16">
        <v>0.2755238095238095</v>
      </c>
      <c r="IQ16" s="16">
        <v>0.1406510263929619</v>
      </c>
      <c r="IR16" s="16">
        <v>0.25917878787878779</v>
      </c>
      <c r="IS16" s="16">
        <v>0.38914439324116756</v>
      </c>
      <c r="IT16" s="16">
        <v>0.3695969696969697</v>
      </c>
      <c r="IU16" s="16">
        <v>0.3373618513323981</v>
      </c>
      <c r="IV16" s="16">
        <v>0.57299231950844864</v>
      </c>
      <c r="IW16" s="16">
        <v>1.0591214285714285</v>
      </c>
      <c r="IX16" s="16">
        <v>1.1360546984572228</v>
      </c>
      <c r="IY16" s="16">
        <v>1.7635666666666667</v>
      </c>
      <c r="IZ16" s="16">
        <v>2.1365043988269798</v>
      </c>
      <c r="JA16" s="16">
        <v>2.6398575757575751</v>
      </c>
      <c r="JB16" s="16">
        <v>2.2507112135176657</v>
      </c>
      <c r="JC16" s="16">
        <v>2.1710757363253856</v>
      </c>
      <c r="JD16" s="16">
        <v>2.8839484848484851</v>
      </c>
      <c r="JE16" s="16">
        <v>3.2759170506912434</v>
      </c>
      <c r="JF16" s="16">
        <v>3.0494909090909101</v>
      </c>
      <c r="JG16" s="16">
        <v>3.115890937019969</v>
      </c>
      <c r="JH16" s="16">
        <v>3.1540351906158355</v>
      </c>
      <c r="JI16" s="16">
        <v>3.2854071428571436</v>
      </c>
      <c r="JJ16" s="16">
        <v>3.284314165497896</v>
      </c>
      <c r="JK16" s="16">
        <v>3.2295444444444454</v>
      </c>
      <c r="JL16" s="16">
        <v>3.1682390029325509</v>
      </c>
      <c r="JM16" s="16">
        <v>3.0926181818181817</v>
      </c>
      <c r="JN16" s="16">
        <v>3.2263671274961583</v>
      </c>
      <c r="JO16" s="16">
        <v>3.3107054698457228</v>
      </c>
      <c r="JP16" s="16">
        <v>3.4349619047619049</v>
      </c>
      <c r="JQ16" s="16">
        <v>3.5710219941348971</v>
      </c>
      <c r="JR16" s="16">
        <v>3.3098090909090914</v>
      </c>
      <c r="JS16" s="16">
        <v>2.8405398981324272</v>
      </c>
    </row>
    <row r="17" spans="1:279" x14ac:dyDescent="0.25">
      <c r="A17" s="24" t="s">
        <v>1009</v>
      </c>
      <c r="B17" t="s">
        <v>1007</v>
      </c>
      <c r="C17" t="s">
        <v>4</v>
      </c>
      <c r="D17" s="16">
        <v>4.7928173913043475</v>
      </c>
      <c r="E17" s="16">
        <v>4.7938000000000001</v>
      </c>
      <c r="F17" s="16">
        <v>4.6947681818181808</v>
      </c>
      <c r="G17" s="16">
        <v>4.8569523809523796</v>
      </c>
      <c r="H17" s="16">
        <v>5.0647826086956531</v>
      </c>
      <c r="I17" s="16">
        <v>5.0226666666666659</v>
      </c>
      <c r="J17" s="16">
        <v>5.0181818181818185</v>
      </c>
      <c r="K17" s="16">
        <v>4.8338260869565222</v>
      </c>
      <c r="L17" s="16">
        <v>4.8331749999999998</v>
      </c>
      <c r="M17" s="16">
        <v>4.6100000000000012</v>
      </c>
      <c r="N17" s="16">
        <v>4.4772272727272719</v>
      </c>
      <c r="O17" s="16">
        <v>4.8106238095238094</v>
      </c>
      <c r="P17" s="16">
        <v>4.8694652173913031</v>
      </c>
      <c r="Q17" s="16">
        <v>4.9268549999999998</v>
      </c>
      <c r="R17" s="16">
        <v>5.1878047619047623</v>
      </c>
      <c r="S17" s="16">
        <v>5.1634545454545462</v>
      </c>
      <c r="T17" s="16">
        <v>5.1745521739130451</v>
      </c>
      <c r="U17" s="16">
        <v>5.0246050000000002</v>
      </c>
      <c r="V17" s="16">
        <v>4.8695869565217373</v>
      </c>
      <c r="W17" s="16">
        <v>4.5903</v>
      </c>
      <c r="X17" s="16">
        <v>4.3788714285714283</v>
      </c>
      <c r="Y17" s="16">
        <v>4.4859391304347822</v>
      </c>
      <c r="Z17" s="16">
        <v>4.4955571428571428</v>
      </c>
      <c r="AA17" s="16">
        <v>4.3337863636363636</v>
      </c>
      <c r="AB17" s="16">
        <v>4.1688260869565221</v>
      </c>
      <c r="AC17" s="16">
        <v>3.9465600000000003</v>
      </c>
      <c r="AD17" s="16">
        <v>4.01462380952381</v>
      </c>
      <c r="AE17" s="16">
        <v>4.1396772727272717</v>
      </c>
      <c r="AF17" s="16">
        <v>3.8221434782608692</v>
      </c>
      <c r="AG17" s="16">
        <v>3.6417239999999991</v>
      </c>
      <c r="AH17" s="16">
        <v>3.9975079999999998</v>
      </c>
      <c r="AI17" s="16">
        <v>4.1548095238095248</v>
      </c>
      <c r="AJ17" s="16">
        <v>4.1930909090909081</v>
      </c>
      <c r="AK17" s="16">
        <v>4.2530739130434796</v>
      </c>
      <c r="AL17" s="16">
        <v>4.4053400000000007</v>
      </c>
      <c r="AM17" s="16">
        <v>4.3250695652173921</v>
      </c>
      <c r="AN17" s="16">
        <v>4.1926545454545447</v>
      </c>
      <c r="AO17" s="16">
        <v>4.1280200000000002</v>
      </c>
      <c r="AP17" s="16">
        <v>3.9386521739130433</v>
      </c>
      <c r="AQ17" s="16">
        <v>4.1140454545454546</v>
      </c>
      <c r="AR17" s="16">
        <v>4.280619047619048</v>
      </c>
      <c r="AS17" s="16">
        <v>4.365954545454545</v>
      </c>
      <c r="AT17" s="16">
        <v>4.2539999999999996</v>
      </c>
      <c r="AU17" s="16">
        <v>4.0997727272727262</v>
      </c>
      <c r="AV17" s="16">
        <v>4.0354545454545452</v>
      </c>
      <c r="AW17" s="16">
        <v>3.9117142857142864</v>
      </c>
      <c r="AX17" s="16">
        <v>3.8178181818181818</v>
      </c>
      <c r="AY17" s="16">
        <v>3.6525217391304334</v>
      </c>
      <c r="AZ17" s="16">
        <v>3.5829523809523818</v>
      </c>
      <c r="BA17" s="16">
        <v>3.5686499999999994</v>
      </c>
      <c r="BB17" s="16">
        <v>3.7211304347826095</v>
      </c>
      <c r="BC17" s="16">
        <v>3.5140476190476186</v>
      </c>
      <c r="BD17" s="16">
        <v>3.3482272727272724</v>
      </c>
      <c r="BE17" s="16">
        <v>3.2013636363636362</v>
      </c>
      <c r="BF17" s="16">
        <v>3.2261904761904772</v>
      </c>
      <c r="BG17" s="16">
        <v>3.2541304347826085</v>
      </c>
      <c r="BH17" s="16">
        <v>3.0867727272727277</v>
      </c>
      <c r="BI17" s="16">
        <v>3.2557619047619037</v>
      </c>
      <c r="BJ17" s="16">
        <v>3.466181818181818</v>
      </c>
      <c r="BK17" s="16">
        <v>3.3625454545454541</v>
      </c>
      <c r="BL17" s="16">
        <v>3.3204090909090906</v>
      </c>
      <c r="BM17" s="16">
        <v>3.4740000000000006</v>
      </c>
      <c r="BN17" s="16">
        <v>3.6429130434782611</v>
      </c>
      <c r="BO17" s="16">
        <v>3.9011111111111099</v>
      </c>
      <c r="BP17" s="16">
        <v>3.9792727272727273</v>
      </c>
      <c r="BQ17" s="16">
        <v>3.9875909090909092</v>
      </c>
      <c r="BR17" s="16">
        <v>4.0181428571428572</v>
      </c>
      <c r="BS17" s="16">
        <v>3.8903913043478267</v>
      </c>
      <c r="BT17" s="16">
        <v>3.7521904761904765</v>
      </c>
      <c r="BU17" s="16">
        <v>3.7983636363636357</v>
      </c>
      <c r="BV17" s="16">
        <v>3.7303181818181819</v>
      </c>
      <c r="BW17" s="16">
        <v>3.7902380952380952</v>
      </c>
      <c r="BX17" s="16">
        <v>4.019869565217391</v>
      </c>
      <c r="BY17" s="16">
        <v>4.0564</v>
      </c>
      <c r="BZ17" s="16">
        <v>3.9475000000000002</v>
      </c>
      <c r="CA17" s="16">
        <v>4.1607368421052637</v>
      </c>
      <c r="CB17" s="16">
        <v>4.2798260869565219</v>
      </c>
      <c r="CC17" s="16">
        <v>4.5676666666666668</v>
      </c>
      <c r="CD17" s="16">
        <v>4.5238181818181813</v>
      </c>
      <c r="CE17" s="16">
        <v>4.3040434782608701</v>
      </c>
      <c r="CF17" s="16">
        <v>4.2369999999999992</v>
      </c>
      <c r="CG17" s="16">
        <v>4.293869565217391</v>
      </c>
      <c r="CH17" s="16">
        <v>4.1177727272727269</v>
      </c>
      <c r="CI17" s="16">
        <v>4.2551904761904771</v>
      </c>
      <c r="CJ17" s="16">
        <v>4.0488181818181816</v>
      </c>
      <c r="CK17" s="16">
        <v>3.9630476190476189</v>
      </c>
      <c r="CL17" s="16">
        <v>3.8005500000000003</v>
      </c>
      <c r="CM17" s="16">
        <v>4.056318181818181</v>
      </c>
      <c r="CN17" s="16">
        <v>4.2145454545454539</v>
      </c>
      <c r="CO17" s="16">
        <v>4.5548571428571432</v>
      </c>
      <c r="CP17" s="16">
        <v>4.5002173913043482</v>
      </c>
      <c r="CQ17" s="16">
        <v>4.2129523809523803</v>
      </c>
      <c r="CR17" s="16">
        <v>4.1039545454545463</v>
      </c>
      <c r="CS17" s="16">
        <v>3.9023913043478258</v>
      </c>
      <c r="CT17" s="16">
        <v>3.5719999999999996</v>
      </c>
      <c r="CU17" s="16">
        <v>3.0645238095238105</v>
      </c>
      <c r="CV17" s="16">
        <v>3.09095238095238</v>
      </c>
      <c r="CW17" s="16">
        <v>3.1595499999999999</v>
      </c>
      <c r="CX17" s="16">
        <v>3.0641363636363637</v>
      </c>
      <c r="CY17" s="16">
        <v>3.1787500000000004</v>
      </c>
      <c r="CZ17" s="16">
        <v>3.4444500000000002</v>
      </c>
      <c r="DA17" s="16">
        <v>3.5494090909090898</v>
      </c>
      <c r="DB17" s="16">
        <v>3.3624782608695654</v>
      </c>
      <c r="DC17" s="16">
        <v>3.336809523809523</v>
      </c>
      <c r="DD17" s="16">
        <v>3.2917727272727277</v>
      </c>
      <c r="DE17" s="16">
        <v>3.2312727272727271</v>
      </c>
      <c r="DF17" s="16">
        <v>3.2811904761904764</v>
      </c>
      <c r="DG17" s="16">
        <v>3.2329090909090921</v>
      </c>
      <c r="DH17" s="16">
        <v>3.2794499999999998</v>
      </c>
      <c r="DI17" s="16">
        <v>3.1894500000000008</v>
      </c>
      <c r="DJ17" s="16">
        <v>3.1279130434782609</v>
      </c>
      <c r="DK17" s="16">
        <v>3.082761904761905</v>
      </c>
      <c r="DL17" s="16">
        <v>2.7996666666666661</v>
      </c>
      <c r="DM17" s="16">
        <v>2.6281363636363633</v>
      </c>
      <c r="DN17" s="16">
        <v>2.6500909090909088</v>
      </c>
      <c r="DO17" s="16">
        <v>2.3682800000000004</v>
      </c>
      <c r="DP17" s="16">
        <v>2.3514230769230773</v>
      </c>
      <c r="DQ17" s="16">
        <v>2.3690769230769231</v>
      </c>
      <c r="DR17" s="16">
        <v>2.5687142857142859</v>
      </c>
      <c r="DS17" s="16">
        <v>2.9631428571428566</v>
      </c>
      <c r="DT17" s="16">
        <v>3.0516333333333336</v>
      </c>
      <c r="DU17" s="16">
        <v>3.2299629629629623</v>
      </c>
      <c r="DV17" s="16">
        <v>3.2486206896551733</v>
      </c>
      <c r="DW17" s="16">
        <v>3.3569642857142847</v>
      </c>
      <c r="DX17" s="16">
        <v>3.1054193548387099</v>
      </c>
      <c r="DY17" s="16">
        <v>2.9729999999999999</v>
      </c>
      <c r="DZ17" s="16">
        <v>2.791666666666667</v>
      </c>
      <c r="EA17" s="16">
        <v>2.2462666666666671</v>
      </c>
      <c r="EB17" s="16">
        <v>1.8614999999999997</v>
      </c>
      <c r="EC17" s="16">
        <v>2.041851851851852</v>
      </c>
      <c r="ED17" s="16">
        <v>1.9582222222222212</v>
      </c>
      <c r="EE17" s="16">
        <v>1.9996666666666667</v>
      </c>
      <c r="EF17" s="16">
        <v>1.8577096774193551</v>
      </c>
      <c r="EG17" s="16">
        <v>1.9096206896551731</v>
      </c>
      <c r="EH17" s="16">
        <v>1.8753870967741941</v>
      </c>
      <c r="EI17" s="16">
        <v>1.718</v>
      </c>
      <c r="EJ17" s="16">
        <v>1.468322580645161</v>
      </c>
      <c r="EK17" s="16">
        <v>1.4227999999999998</v>
      </c>
      <c r="EL17" s="16">
        <v>1.3064615384615386</v>
      </c>
      <c r="EM17" s="16">
        <v>1.4154074074074077</v>
      </c>
      <c r="EN17" s="16">
        <v>1.53576</v>
      </c>
      <c r="EO17" s="16">
        <v>1.5240000000000002</v>
      </c>
      <c r="EP17" s="16">
        <v>1.3921153846153844</v>
      </c>
      <c r="EQ17" s="16">
        <v>1.3554166666666665</v>
      </c>
      <c r="ER17" s="16">
        <v>1.5684615384615388</v>
      </c>
      <c r="ES17" s="16">
        <v>1.6051249999999999</v>
      </c>
      <c r="ET17" s="16">
        <v>1.41364</v>
      </c>
      <c r="EU17" s="16">
        <v>1.2470400000000001</v>
      </c>
      <c r="EV17" s="16">
        <v>1.3624999999999998</v>
      </c>
      <c r="EW17" s="16">
        <v>1.61924</v>
      </c>
      <c r="EX17" s="16">
        <v>1.6248461538461538</v>
      </c>
      <c r="EY17" s="16">
        <v>1.8026296296296294</v>
      </c>
      <c r="EZ17" s="16">
        <v>1.9236799999999994</v>
      </c>
      <c r="FA17" s="16">
        <v>1.8104444444444441</v>
      </c>
      <c r="FB17" s="16">
        <v>1.7191923076923081</v>
      </c>
      <c r="FC17" s="16">
        <v>1.856458333333334</v>
      </c>
      <c r="FD17" s="16">
        <v>1.7850000000000001</v>
      </c>
      <c r="FE17" s="16">
        <v>1.6640000000000001</v>
      </c>
      <c r="FF17" s="16">
        <v>1.5937692307692308</v>
      </c>
      <c r="FG17" s="16">
        <v>1.5268799999999996</v>
      </c>
      <c r="FH17" s="16">
        <v>1.4007037037037036</v>
      </c>
      <c r="FI17" s="16">
        <v>1.3502799999999997</v>
      </c>
      <c r="FJ17" s="16">
        <v>1.1968148148148146</v>
      </c>
      <c r="FK17" s="16">
        <v>1.0143333333333333</v>
      </c>
      <c r="FL17" s="16">
        <v>1.0008461538461537</v>
      </c>
      <c r="FM17" s="16">
        <v>0.87753846153846171</v>
      </c>
      <c r="FN17" s="16">
        <v>0.80000000000000016</v>
      </c>
      <c r="FO17" s="16">
        <v>0.64400000000000002</v>
      </c>
      <c r="FP17" s="16">
        <v>0.43552000000000002</v>
      </c>
      <c r="FQ17" s="16">
        <v>0.35449999999999998</v>
      </c>
      <c r="FR17" s="16">
        <v>0.26662962962962966</v>
      </c>
      <c r="FS17" s="16">
        <v>0.16421739130434782</v>
      </c>
      <c r="FT17" s="16">
        <v>0.58538095238095234</v>
      </c>
      <c r="FU17" s="16">
        <v>0.83340909090909088</v>
      </c>
      <c r="FV17" s="16">
        <v>0.75491304347826105</v>
      </c>
      <c r="FW17" s="16">
        <v>0.66533333333333322</v>
      </c>
      <c r="FX17" s="16">
        <v>0.67886363636363634</v>
      </c>
      <c r="FY17" s="16">
        <v>0.54931818181818171</v>
      </c>
      <c r="FZ17" s="16">
        <v>0.55128571428571427</v>
      </c>
      <c r="GA17" s="16">
        <v>0.58790909090909083</v>
      </c>
      <c r="GB17" s="16">
        <v>0.48622000000000004</v>
      </c>
      <c r="GC17" s="16">
        <v>0.22928571428571429</v>
      </c>
      <c r="GD17" s="16">
        <v>0.21827272727272728</v>
      </c>
      <c r="GE17" s="16">
        <v>0.17804761904761909</v>
      </c>
      <c r="GF17" s="16">
        <v>0.16095454545454546</v>
      </c>
      <c r="GG17" s="16">
        <v>1.4831818181818186E-2</v>
      </c>
      <c r="GH17" s="16">
        <v>-9.2095238095238077E-2</v>
      </c>
      <c r="GI17" s="16">
        <v>-7.3347826086956516E-2</v>
      </c>
      <c r="GJ17" s="16">
        <v>-4.7681818181818193E-2</v>
      </c>
      <c r="GK17" s="16">
        <v>4.0714285714285717E-2</v>
      </c>
      <c r="GL17" s="16">
        <v>0.2357272727272727</v>
      </c>
      <c r="GM17" s="16">
        <v>0.2953809523809523</v>
      </c>
      <c r="GN17" s="16">
        <v>0.346409090909091</v>
      </c>
      <c r="GO17" s="16">
        <v>0.32024999999999998</v>
      </c>
      <c r="GP17" s="16">
        <v>0.39304347826086955</v>
      </c>
      <c r="GQ17" s="16">
        <v>0.25130000000000002</v>
      </c>
      <c r="GR17" s="16">
        <v>0.37749999999999989</v>
      </c>
      <c r="GS17" s="16">
        <v>0.2920454545454545</v>
      </c>
      <c r="GT17" s="16">
        <v>0.54142857142857148</v>
      </c>
      <c r="GU17" s="16">
        <v>0.41513043478260869</v>
      </c>
      <c r="GV17" s="16">
        <v>0.40476190476190488</v>
      </c>
      <c r="GW17" s="16">
        <v>0.42786363636363628</v>
      </c>
      <c r="GX17" s="16">
        <v>0.36600000000000005</v>
      </c>
      <c r="GY17" s="16">
        <v>0.34605263157894722</v>
      </c>
      <c r="GZ17" s="16">
        <v>0.54786363636363633</v>
      </c>
      <c r="HA17" s="16">
        <v>0.72099999999999986</v>
      </c>
      <c r="HB17" s="16">
        <v>0.58766666666666667</v>
      </c>
      <c r="HC17" s="16">
        <v>0.54749999999999999</v>
      </c>
      <c r="HD17" s="16">
        <v>0.5154347826086958</v>
      </c>
      <c r="HE17" s="16">
        <v>0.3941904761904762</v>
      </c>
      <c r="HF17" s="16">
        <v>0.34518181818181809</v>
      </c>
      <c r="HG17" s="16">
        <v>0.36273913043478262</v>
      </c>
      <c r="HH17" s="16">
        <v>0.44510000000000011</v>
      </c>
      <c r="HI17" s="16">
        <v>0.45978260869565218</v>
      </c>
      <c r="HJ17" s="16">
        <v>0.38295454545454538</v>
      </c>
      <c r="HK17" s="16">
        <v>0.25278947368421051</v>
      </c>
      <c r="HL17" s="16">
        <v>0.20827272727272725</v>
      </c>
      <c r="HM17" s="16">
        <v>0.12735000000000002</v>
      </c>
      <c r="HN17" s="16">
        <v>5.5523809523809517E-2</v>
      </c>
      <c r="HO17" s="16">
        <v>8.8500000000000002E-3</v>
      </c>
      <c r="HP17" s="16">
        <v>-8.4772727272727263E-2</v>
      </c>
      <c r="HQ17" s="16">
        <v>-0.26725000000000004</v>
      </c>
      <c r="HR17" s="16">
        <v>-0.34647826086956518</v>
      </c>
      <c r="HS17" s="16">
        <v>-0.6248636363636364</v>
      </c>
      <c r="HT17" s="16">
        <v>-0.57104761904761892</v>
      </c>
      <c r="HU17" s="16">
        <v>-0.44886956521739141</v>
      </c>
      <c r="HV17" s="16">
        <v>-0.32747619047619053</v>
      </c>
      <c r="HW17" s="16">
        <v>-0.27109999999999995</v>
      </c>
      <c r="HX17" s="16">
        <v>-0.27322580645161287</v>
      </c>
      <c r="HY17" s="16">
        <v>-0.4345862068965517</v>
      </c>
      <c r="HZ17" s="16">
        <v>-0.52793548387096767</v>
      </c>
      <c r="IA17" s="16">
        <v>-0.42943333333333322</v>
      </c>
      <c r="IB17" s="16">
        <v>-0.50590322580645153</v>
      </c>
      <c r="IC17" s="16">
        <v>-0.40290000000000004</v>
      </c>
      <c r="ID17" s="16">
        <v>-0.45874193548387104</v>
      </c>
      <c r="IE17" s="16">
        <v>-0.46987096774193554</v>
      </c>
      <c r="IF17" s="16">
        <v>-0.48919999999999997</v>
      </c>
      <c r="IG17" s="16">
        <v>-0.57177419354838699</v>
      </c>
      <c r="IH17" s="16">
        <v>-0.57643333333333335</v>
      </c>
      <c r="II17" s="16">
        <v>-0.57458064516129037</v>
      </c>
      <c r="IJ17" s="16">
        <v>-0.53348387096774186</v>
      </c>
      <c r="IK17" s="16">
        <v>-0.38128571428571423</v>
      </c>
      <c r="IL17" s="16">
        <v>-0.31519354838709668</v>
      </c>
      <c r="IM17" s="16">
        <v>-0.27706666666666668</v>
      </c>
      <c r="IN17" s="16">
        <v>-0.16674193548387095</v>
      </c>
      <c r="IO17" s="16">
        <v>-0.20549999999999999</v>
      </c>
      <c r="IP17" s="16">
        <v>-0.34399999999999997</v>
      </c>
      <c r="IQ17" s="16">
        <v>-0.45925806451612916</v>
      </c>
      <c r="IR17" s="16">
        <v>-0.30236666666666667</v>
      </c>
      <c r="IS17" s="16">
        <v>-0.14590322580645157</v>
      </c>
      <c r="IT17" s="16">
        <v>-0.26526666666666671</v>
      </c>
      <c r="IU17" s="16">
        <v>-0.31829032258064521</v>
      </c>
      <c r="IV17" s="16">
        <v>-6.2483870967741925E-2</v>
      </c>
      <c r="IW17" s="16">
        <v>0.21707142857142853</v>
      </c>
      <c r="IX17" s="16">
        <v>0.31396774193548388</v>
      </c>
      <c r="IY17" s="16">
        <v>0.78956666666666653</v>
      </c>
      <c r="IZ17" s="16">
        <v>0.99532258064516133</v>
      </c>
      <c r="JA17" s="16">
        <v>1.5012666666666663</v>
      </c>
      <c r="JB17" s="16">
        <v>1.1288064516129035</v>
      </c>
      <c r="JC17" s="16">
        <v>1.113032258064516</v>
      </c>
      <c r="JD17" s="16">
        <v>1.8097666666666665</v>
      </c>
      <c r="JE17" s="16">
        <v>2.2157741935483863</v>
      </c>
      <c r="JF17" s="16">
        <v>2.081900000000001</v>
      </c>
      <c r="JG17" s="16">
        <v>2.1331290322580645</v>
      </c>
      <c r="JH17" s="16">
        <v>2.2175806451612901</v>
      </c>
      <c r="JI17" s="16">
        <v>2.4023571428571433</v>
      </c>
      <c r="JJ17" s="16">
        <v>2.3880967741935484</v>
      </c>
      <c r="JK17" s="16">
        <v>2.3684333333333343</v>
      </c>
      <c r="JL17" s="16">
        <v>2.3541935483870966</v>
      </c>
      <c r="JM17" s="16">
        <v>2.3928000000000003</v>
      </c>
      <c r="JN17" s="16">
        <v>2.4791290322580632</v>
      </c>
      <c r="JO17" s="16">
        <v>2.5710967741935487</v>
      </c>
      <c r="JP17" s="16">
        <v>2.6865333333333337</v>
      </c>
      <c r="JQ17" s="16">
        <v>2.8446129032258063</v>
      </c>
      <c r="JR17" s="16">
        <v>2.6234000000000002</v>
      </c>
      <c r="JS17" s="16">
        <v>2.1086451612903221</v>
      </c>
    </row>
    <row r="18" spans="1:279" x14ac:dyDescent="0.25">
      <c r="A18" s="24" t="s">
        <v>1008</v>
      </c>
      <c r="B18" t="s">
        <v>1008</v>
      </c>
      <c r="C18" t="s">
        <v>730</v>
      </c>
      <c r="D18" s="227">
        <v>0.37690909090909042</v>
      </c>
      <c r="E18" s="227">
        <v>0.37204999999999799</v>
      </c>
      <c r="F18" s="227">
        <v>0.42368181818181938</v>
      </c>
      <c r="G18" s="227">
        <v>0.41957142857142937</v>
      </c>
      <c r="H18" s="227">
        <v>0.38152173913043441</v>
      </c>
      <c r="I18" s="227">
        <v>0.37233333333333363</v>
      </c>
      <c r="J18" s="227">
        <v>0.38572727272727203</v>
      </c>
      <c r="K18" s="227">
        <v>0.36808695652173995</v>
      </c>
      <c r="L18" s="227">
        <v>0.35604999999999887</v>
      </c>
      <c r="M18" s="16">
        <v>0.31990316205533631</v>
      </c>
      <c r="N18" s="16">
        <v>0.3017272727272724</v>
      </c>
      <c r="O18" s="16">
        <v>0.22290476190476305</v>
      </c>
      <c r="P18" s="16">
        <v>0.20704347826086966</v>
      </c>
      <c r="Q18" s="16">
        <v>0.22460526315789586</v>
      </c>
      <c r="R18" s="16">
        <v>0.211380952380952</v>
      </c>
      <c r="S18" s="16">
        <v>0.23327272727272863</v>
      </c>
      <c r="T18" s="16">
        <v>0.23152173913043494</v>
      </c>
      <c r="U18" s="16">
        <v>0.24354999999999905</v>
      </c>
      <c r="V18" s="16">
        <v>0.2564347826086939</v>
      </c>
      <c r="W18" s="16">
        <v>0.26918181818181885</v>
      </c>
      <c r="X18" s="16">
        <v>0.25885714285714201</v>
      </c>
      <c r="Y18" s="16">
        <v>0.22908695652173883</v>
      </c>
      <c r="Z18" s="16">
        <v>0.16828571428571504</v>
      </c>
      <c r="AA18" s="16">
        <v>0.12581818181818161</v>
      </c>
      <c r="AB18" s="16">
        <v>9.0695652173914176E-2</v>
      </c>
      <c r="AC18" s="16">
        <v>9.1500000000000359E-2</v>
      </c>
      <c r="AD18" s="16">
        <v>0.1482857142857128</v>
      </c>
      <c r="AE18" s="16">
        <v>0.14872727272727193</v>
      </c>
      <c r="AF18" s="16">
        <v>0.14799999999999924</v>
      </c>
      <c r="AG18" s="16">
        <v>0.14852380952380928</v>
      </c>
      <c r="AH18" s="16">
        <v>9.2652173913042368E-2</v>
      </c>
      <c r="AI18" s="16">
        <v>0.1124761904761904</v>
      </c>
      <c r="AJ18" s="16">
        <v>0.10190909090909006</v>
      </c>
      <c r="AK18" s="16">
        <v>0.12078260869565138</v>
      </c>
      <c r="AL18" s="16">
        <v>0.13890000000000047</v>
      </c>
      <c r="AM18" s="16">
        <v>0.14786956521739114</v>
      </c>
      <c r="AN18" s="16">
        <v>0.15813636363636352</v>
      </c>
      <c r="AO18" s="16">
        <v>0.16275000000000173</v>
      </c>
      <c r="AP18" s="16">
        <v>0.17000000000000082</v>
      </c>
      <c r="AQ18" s="16">
        <v>0.15990909090909078</v>
      </c>
      <c r="AR18" s="16">
        <v>0.13423809523809549</v>
      </c>
      <c r="AS18" s="16">
        <v>0.10363636363636441</v>
      </c>
      <c r="AT18" s="16">
        <v>0.10099999999999998</v>
      </c>
      <c r="AU18" s="16">
        <v>8.9409090909090772E-2</v>
      </c>
      <c r="AV18" s="16">
        <v>7.8454545454544444E-2</v>
      </c>
      <c r="AW18" s="16">
        <v>7.6857142857142957E-2</v>
      </c>
      <c r="AX18" s="16">
        <v>4.4727272727272283E-2</v>
      </c>
      <c r="AY18" s="16">
        <v>9.9999999999997868E-3</v>
      </c>
      <c r="AZ18" s="16">
        <v>9.9999999999997868E-3</v>
      </c>
      <c r="BA18" s="16">
        <v>9.9999999999997868E-3</v>
      </c>
      <c r="BB18" s="16">
        <v>9.9999999999997868E-3</v>
      </c>
      <c r="BC18" s="16">
        <v>4.9999999999999822E-2</v>
      </c>
      <c r="BD18" s="16">
        <v>5.1181818181817995E-2</v>
      </c>
      <c r="BE18" s="16">
        <v>5.231818181818193E-2</v>
      </c>
      <c r="BF18" s="16">
        <v>0.1685119047619037</v>
      </c>
      <c r="BG18" s="16">
        <v>0.13704347826086893</v>
      </c>
      <c r="BH18" s="16">
        <v>0.14295454545454733</v>
      </c>
      <c r="BI18" s="16">
        <v>0.12176190476190385</v>
      </c>
      <c r="BJ18" s="16">
        <v>0.10490909090909062</v>
      </c>
      <c r="BK18" s="16">
        <v>9.2727272727273657E-2</v>
      </c>
      <c r="BL18" s="16">
        <v>0.10954545454545483</v>
      </c>
      <c r="BM18" s="16">
        <v>0.10833749999999975</v>
      </c>
      <c r="BN18" s="16">
        <v>0.11721739130434772</v>
      </c>
      <c r="BO18" s="16">
        <v>0.125</v>
      </c>
      <c r="BP18" s="16">
        <v>8.9681818181817974E-2</v>
      </c>
      <c r="BQ18" s="16">
        <v>0.10254545454545472</v>
      </c>
      <c r="BR18" s="16">
        <v>0.12597435897435805</v>
      </c>
      <c r="BS18" s="16">
        <v>0.16852173913043478</v>
      </c>
      <c r="BT18" s="16">
        <v>0.17023809523809463</v>
      </c>
      <c r="BU18" s="16">
        <v>0.17522727272727234</v>
      </c>
      <c r="BV18" s="16">
        <v>0.15759090909091045</v>
      </c>
      <c r="BW18" s="16">
        <v>0.16814285714285804</v>
      </c>
      <c r="BX18" s="16">
        <v>0.14673913043478137</v>
      </c>
      <c r="BY18" s="16">
        <v>0.13590000000000035</v>
      </c>
      <c r="BZ18" s="16">
        <v>0.14981818181818118</v>
      </c>
      <c r="CA18" s="16">
        <v>0.13757142857142757</v>
      </c>
      <c r="CB18" s="16">
        <v>0.12439130434782619</v>
      </c>
      <c r="CC18" s="16">
        <v>0.16228571428571481</v>
      </c>
      <c r="CD18" s="16">
        <v>0.2062727272727285</v>
      </c>
      <c r="CE18" s="16">
        <v>0.24904347826087037</v>
      </c>
      <c r="CF18" s="16">
        <v>0.25739999999999963</v>
      </c>
      <c r="CG18" s="16">
        <v>0.21947826086956557</v>
      </c>
      <c r="CH18" s="16">
        <v>0.25609090909090781</v>
      </c>
      <c r="CI18" s="16">
        <v>0.23180952380952391</v>
      </c>
      <c r="CJ18" s="16">
        <v>0.26647826086956616</v>
      </c>
      <c r="CK18" s="16">
        <v>0.2935238095238093</v>
      </c>
      <c r="CL18" s="16">
        <v>0.50966666666666516</v>
      </c>
      <c r="CM18" s="16">
        <v>0.4687272727272731</v>
      </c>
      <c r="CN18" s="16">
        <v>0.40018181818181819</v>
      </c>
      <c r="CO18" s="16">
        <v>0.41576190476190433</v>
      </c>
      <c r="CP18" s="16">
        <v>0.45291304347826067</v>
      </c>
      <c r="CQ18" s="16">
        <v>0.47319047619047616</v>
      </c>
      <c r="CR18" s="16">
        <v>0.55813636363636299</v>
      </c>
      <c r="CS18" s="16">
        <v>0.66108695652173832</v>
      </c>
      <c r="CT18" s="16">
        <v>0.77890000000000059</v>
      </c>
      <c r="CU18" s="16">
        <v>0.94573913043478308</v>
      </c>
      <c r="CV18" s="16">
        <v>1.2196363636363627</v>
      </c>
      <c r="CW18" s="16">
        <v>1.3443499999999999</v>
      </c>
      <c r="CX18" s="16">
        <v>1.4843181818181814</v>
      </c>
      <c r="CY18" s="16">
        <v>1.3347272727272723</v>
      </c>
      <c r="CZ18" s="16">
        <v>0.85728571428571465</v>
      </c>
      <c r="DA18" s="16">
        <v>0.94431818181818361</v>
      </c>
      <c r="DB18" s="16">
        <v>0.87652173913043363</v>
      </c>
      <c r="DC18" s="16">
        <v>0.60547619047618984</v>
      </c>
      <c r="DD18" s="16">
        <v>0.63063636363636366</v>
      </c>
      <c r="DE18" s="16">
        <v>0.60495454545454619</v>
      </c>
      <c r="DF18" s="16">
        <v>0.51390476190476209</v>
      </c>
      <c r="DG18" s="16">
        <v>0.67586956521739161</v>
      </c>
      <c r="DH18" s="16">
        <v>0.87571428571428633</v>
      </c>
      <c r="DI18" s="16">
        <v>1.2832000000000008</v>
      </c>
      <c r="DJ18" s="16">
        <v>1.0793043478260862</v>
      </c>
      <c r="DK18" s="16">
        <v>1.5974545454545463</v>
      </c>
      <c r="DL18" s="16">
        <v>2.1046666666666658</v>
      </c>
      <c r="DM18" s="16">
        <v>2.7718636363636362</v>
      </c>
      <c r="DN18" s="16">
        <v>2.7563636363636368</v>
      </c>
      <c r="DO18" s="16">
        <v>2.8425454545454549</v>
      </c>
      <c r="DP18" s="16">
        <v>3.6541363636363648</v>
      </c>
      <c r="DQ18" s="16">
        <v>3.5887619047619053</v>
      </c>
      <c r="DR18" s="16">
        <v>4.1884545454545457</v>
      </c>
      <c r="DS18" s="16">
        <v>3.4298260869565231</v>
      </c>
      <c r="DT18" s="16">
        <v>3.7887142857142853</v>
      </c>
      <c r="DU18" s="16">
        <v>3.9706499999999982</v>
      </c>
      <c r="DV18" s="16">
        <v>4.2786521739130432</v>
      </c>
      <c r="DW18" s="16">
        <v>5.5746666666666682</v>
      </c>
      <c r="DX18" s="16">
        <v>6.1571818181818179</v>
      </c>
      <c r="DY18" s="16">
        <v>7.4418181818181806</v>
      </c>
      <c r="DZ18" s="16">
        <v>8.7382380952380956</v>
      </c>
      <c r="EA18" s="16">
        <v>8.2254347826086942</v>
      </c>
      <c r="EB18" s="16">
        <v>9.0856363636363646</v>
      </c>
      <c r="EC18" s="16">
        <v>9.3907619047619058</v>
      </c>
      <c r="ED18" s="16">
        <v>9.5882727272727273</v>
      </c>
      <c r="EE18" s="16">
        <v>10.689727272727275</v>
      </c>
      <c r="EF18" s="16">
        <v>11.644772727272727</v>
      </c>
      <c r="EG18" s="16">
        <v>10.651095238095238</v>
      </c>
      <c r="EH18" s="16">
        <v>10.836318181818179</v>
      </c>
      <c r="EI18" s="16">
        <v>9.8765261904761914</v>
      </c>
      <c r="EJ18" s="16">
        <v>9.8876956521739139</v>
      </c>
      <c r="EK18" s="16">
        <v>8.9718095238095259</v>
      </c>
      <c r="EL18" s="16">
        <v>9.1105</v>
      </c>
      <c r="EM18" s="16">
        <v>8.2652173913043487</v>
      </c>
      <c r="EN18" s="16">
        <v>6.9100999999999999</v>
      </c>
      <c r="EO18" s="16">
        <v>6.5090869565217391</v>
      </c>
      <c r="EP18" s="16">
        <v>6.8037727272727269</v>
      </c>
      <c r="EQ18" s="16">
        <v>5.8097516339869291</v>
      </c>
      <c r="ER18" s="16">
        <v>4.5880968379446641</v>
      </c>
      <c r="ES18" s="16">
        <v>4.7008499999999991</v>
      </c>
      <c r="ET18" s="16">
        <v>4.6390476190476182</v>
      </c>
      <c r="EU18" s="16">
        <v>4.8370454545454544</v>
      </c>
      <c r="EV18" s="16">
        <v>4.0430434782608691</v>
      </c>
      <c r="EW18" s="16">
        <v>4.6299499999999991</v>
      </c>
      <c r="EX18" s="16">
        <v>5.0916521739130456</v>
      </c>
      <c r="EY18" s="16">
        <v>4.6578181818181807</v>
      </c>
      <c r="EZ18" s="16">
        <v>5.046380952380952</v>
      </c>
      <c r="FA18" s="16">
        <v>4.4368260869565201</v>
      </c>
      <c r="FB18" s="16">
        <v>4.1904285714285692</v>
      </c>
      <c r="FC18" s="16">
        <v>4.1264545454545445</v>
      </c>
      <c r="FD18" s="16">
        <v>3.4873043478260861</v>
      </c>
      <c r="FE18" s="16">
        <v>3.2501499999999992</v>
      </c>
      <c r="FF18" s="16">
        <v>2.8206190476190485</v>
      </c>
      <c r="FG18" s="16">
        <v>2.2763636363636373</v>
      </c>
      <c r="FH18" s="16">
        <v>2.2389999999999999</v>
      </c>
      <c r="FI18" s="16">
        <v>2.1376190476190478</v>
      </c>
      <c r="FJ18" s="16">
        <v>2.4775652173913043</v>
      </c>
      <c r="FK18" s="16">
        <v>2.4477142857142855</v>
      </c>
      <c r="FL18" s="16">
        <v>2.1674545454545453</v>
      </c>
      <c r="FM18" s="16">
        <v>2.3200434782608692</v>
      </c>
      <c r="FN18" s="16">
        <v>2.3243999999999998</v>
      </c>
      <c r="FO18" s="16">
        <v>2.1392608695652182</v>
      </c>
      <c r="FP18" s="16">
        <v>2.1297727272727274</v>
      </c>
      <c r="FQ18" s="16">
        <v>1.9678499999999997</v>
      </c>
      <c r="FR18" s="16">
        <v>1.4604090909090908</v>
      </c>
      <c r="FS18" s="16">
        <v>1.6684545454545454</v>
      </c>
      <c r="FT18" s="16">
        <v>1.7947809523809524</v>
      </c>
      <c r="FU18" s="16">
        <v>2.0943181818181813</v>
      </c>
      <c r="FV18" s="16">
        <v>1.96408695652174</v>
      </c>
      <c r="FW18" s="16">
        <v>1.8362857142857143</v>
      </c>
      <c r="FX18" s="16">
        <v>1.8970909090909092</v>
      </c>
      <c r="FY18" s="16">
        <v>1.8551818181818183</v>
      </c>
      <c r="FZ18" s="16">
        <v>2.0152857142857146</v>
      </c>
      <c r="GA18" s="16">
        <v>1.8775217391304344</v>
      </c>
      <c r="GB18" s="16">
        <v>2.2540476190476197</v>
      </c>
      <c r="GC18" s="16">
        <v>3.125809523809524</v>
      </c>
      <c r="GD18" s="16">
        <v>2.7620434782608694</v>
      </c>
      <c r="GE18" s="16">
        <v>3.0216666666666669</v>
      </c>
      <c r="GF18" s="16">
        <v>2.9619090909090908</v>
      </c>
      <c r="GG18" s="16">
        <v>3.1604090909090905</v>
      </c>
      <c r="GH18" s="16">
        <v>3.1276190476190475</v>
      </c>
      <c r="GI18" s="16">
        <v>2.9649130434782607</v>
      </c>
      <c r="GJ18" s="16">
        <v>3.2881818181818185</v>
      </c>
      <c r="GK18" s="16">
        <v>3.2688095238095247</v>
      </c>
      <c r="GL18" s="16">
        <v>3.2643181818181812</v>
      </c>
      <c r="GM18" s="16">
        <v>3.4407272727272735</v>
      </c>
      <c r="GN18" s="16">
        <v>3.5847727272727274</v>
      </c>
      <c r="GO18" s="16">
        <v>3.7096499999999994</v>
      </c>
      <c r="GP18" s="16">
        <v>3.6452173913043469</v>
      </c>
      <c r="GQ18" s="16">
        <v>3.5134500000000006</v>
      </c>
      <c r="GR18" s="16">
        <v>2.9058260869565209</v>
      </c>
      <c r="GS18" s="16">
        <v>2.6610454545454547</v>
      </c>
      <c r="GT18" s="16">
        <v>2.4660952380952375</v>
      </c>
      <c r="GU18" s="16">
        <v>2.391</v>
      </c>
      <c r="GV18" s="16">
        <v>2.2047142857142852</v>
      </c>
      <c r="GW18" s="16">
        <v>1.875909090909091</v>
      </c>
      <c r="GX18" s="16">
        <v>1.6017272727272729</v>
      </c>
      <c r="GY18" s="16">
        <v>1.470190476190476</v>
      </c>
      <c r="GZ18" s="16">
        <v>1.351130434782609</v>
      </c>
      <c r="HA18" s="16">
        <v>1.3013999999999994</v>
      </c>
      <c r="HB18" s="16">
        <v>1.189909090909091</v>
      </c>
      <c r="HC18" s="16">
        <v>1.1102857142857148</v>
      </c>
      <c r="HD18" s="16">
        <v>1.3080000000000005</v>
      </c>
      <c r="HE18" s="16">
        <v>1.4618571428571432</v>
      </c>
      <c r="HF18" s="16">
        <v>1.3975909090909091</v>
      </c>
      <c r="HG18" s="16">
        <v>1.4522173913043479</v>
      </c>
      <c r="HH18" s="16">
        <v>1.42855</v>
      </c>
      <c r="HI18" s="16">
        <v>1.4894782608695649</v>
      </c>
      <c r="HJ18" s="16">
        <v>1.5355909090909092</v>
      </c>
      <c r="HK18" s="16">
        <v>1.4618095238095237</v>
      </c>
      <c r="HL18" s="16">
        <v>1.5009565217391303</v>
      </c>
      <c r="HM18" s="16">
        <v>1.4357</v>
      </c>
      <c r="HN18" s="16">
        <v>1.2734285714285714</v>
      </c>
      <c r="HO18" s="16">
        <v>1.1794090909090911</v>
      </c>
      <c r="HP18" s="16">
        <v>1.1189130434782608</v>
      </c>
      <c r="HQ18" s="16">
        <v>0.86344999999999983</v>
      </c>
      <c r="HR18" s="16">
        <v>0.79204347826086929</v>
      </c>
      <c r="HS18" s="16">
        <v>0.80859090909090914</v>
      </c>
      <c r="HT18" s="16">
        <v>0.78161904761904766</v>
      </c>
      <c r="HU18" s="16">
        <v>0.63147826086956527</v>
      </c>
      <c r="HV18" s="16">
        <v>0.66942857142857148</v>
      </c>
      <c r="HW18" s="16">
        <v>0.66780952380952396</v>
      </c>
      <c r="HX18" s="16">
        <v>0.66399999999999992</v>
      </c>
      <c r="HY18" s="16">
        <v>0.72360000000000002</v>
      </c>
      <c r="HZ18" s="16">
        <v>1.2481818181818181</v>
      </c>
      <c r="IA18" s="16">
        <v>1.4006818181818184</v>
      </c>
      <c r="IB18" s="16">
        <v>1.295952380952381</v>
      </c>
      <c r="IC18" s="16">
        <v>0.92218181818181821</v>
      </c>
      <c r="ID18" s="16">
        <v>0.85134782608695658</v>
      </c>
      <c r="IE18" s="16">
        <v>0.81338095238095232</v>
      </c>
      <c r="IF18" s="16">
        <v>0.7985909090909088</v>
      </c>
      <c r="IG18" s="16">
        <v>0.74145454545454537</v>
      </c>
      <c r="IH18" s="16">
        <v>0.6355238095238096</v>
      </c>
      <c r="II18" s="16">
        <v>0.59426086956521751</v>
      </c>
      <c r="IJ18" s="16">
        <v>0.55825000000000014</v>
      </c>
      <c r="IK18" s="16">
        <v>0.54685000000000028</v>
      </c>
      <c r="IL18" s="16">
        <v>0.54347826086956519</v>
      </c>
      <c r="IM18" s="16">
        <v>0.63035000000000008</v>
      </c>
      <c r="IN18" s="16">
        <v>0.69366666666666665</v>
      </c>
      <c r="IO18" s="16">
        <v>0.63286363636363629</v>
      </c>
      <c r="IP18" s="16">
        <v>0.61952380952380948</v>
      </c>
      <c r="IQ18" s="16">
        <v>0.59990909090909106</v>
      </c>
      <c r="IR18" s="16">
        <v>0.56154545454545446</v>
      </c>
      <c r="IS18" s="16">
        <v>0.53504761904761911</v>
      </c>
      <c r="IT18" s="16">
        <v>0.63486363636363641</v>
      </c>
      <c r="IU18" s="16">
        <v>0.65565217391304331</v>
      </c>
      <c r="IV18" s="16">
        <v>0.63547619047619053</v>
      </c>
      <c r="IW18" s="16">
        <v>0.84204999999999997</v>
      </c>
      <c r="IX18" s="16">
        <v>0.82208695652173902</v>
      </c>
      <c r="IY18" s="16">
        <v>0.9740000000000002</v>
      </c>
      <c r="IZ18" s="16">
        <v>1.1411818181818185</v>
      </c>
      <c r="JA18" s="16">
        <v>1.1385909090909088</v>
      </c>
      <c r="JB18" s="16">
        <v>1.1219047619047622</v>
      </c>
      <c r="JC18" s="16">
        <v>1.0580434782608696</v>
      </c>
      <c r="JD18" s="16">
        <v>1.0741818181818186</v>
      </c>
      <c r="JE18" s="16">
        <v>1.0601428571428571</v>
      </c>
      <c r="JF18" s="16">
        <v>0.96759090909090917</v>
      </c>
      <c r="JG18" s="16">
        <v>0.9827619047619045</v>
      </c>
      <c r="JH18" s="16">
        <v>0.93645454545454543</v>
      </c>
      <c r="JI18" s="16">
        <v>0.88305000000000033</v>
      </c>
      <c r="JJ18" s="16">
        <v>0.89621739130434763</v>
      </c>
      <c r="JK18" s="16">
        <v>0.86111111111111116</v>
      </c>
      <c r="JL18" s="16">
        <v>0.81404545454545429</v>
      </c>
      <c r="JM18" s="16">
        <v>0.69981818181818145</v>
      </c>
      <c r="JN18" s="16">
        <v>0.74723809523809503</v>
      </c>
      <c r="JO18" s="16">
        <v>0.73960869565217413</v>
      </c>
      <c r="JP18" s="16">
        <v>0.74842857142857122</v>
      </c>
      <c r="JQ18" s="16">
        <v>0.72640909090909078</v>
      </c>
      <c r="JR18" s="16">
        <v>0.68640909090909119</v>
      </c>
      <c r="JS18" s="16">
        <v>0.73189473684210515</v>
      </c>
    </row>
    <row r="19" spans="1:279" x14ac:dyDescent="0.25">
      <c r="A19" s="24"/>
      <c r="D19" s="227"/>
      <c r="E19" s="227"/>
      <c r="F19" s="227"/>
      <c r="G19" s="227"/>
      <c r="H19" s="227"/>
      <c r="I19" s="227"/>
      <c r="J19" s="227"/>
      <c r="K19" s="227"/>
      <c r="L19" s="227"/>
      <c r="M19" s="16"/>
      <c r="N19" s="16"/>
      <c r="O19" s="16"/>
    </row>
    <row r="20" spans="1:279" x14ac:dyDescent="0.25">
      <c r="A20" s="23"/>
      <c r="B20" s="24"/>
      <c r="C20" s="24"/>
      <c r="D20" s="85"/>
      <c r="E20" s="304"/>
      <c r="F20" s="304"/>
      <c r="G20" s="304"/>
      <c r="H20" s="304"/>
      <c r="I20" s="304"/>
      <c r="J20" s="304"/>
      <c r="K20" s="304"/>
      <c r="L20" s="304"/>
      <c r="M20" s="304"/>
      <c r="N20" s="304"/>
      <c r="O20" s="304"/>
      <c r="P20" s="304"/>
      <c r="Q20" s="304"/>
      <c r="R20" s="304"/>
      <c r="S20" s="304"/>
      <c r="T20" s="304"/>
      <c r="U20" s="304"/>
      <c r="V20" s="304"/>
      <c r="W20" s="304"/>
      <c r="X20" s="304"/>
      <c r="Y20" s="304"/>
      <c r="Z20" s="304"/>
      <c r="AA20" s="304"/>
    </row>
    <row r="21" spans="1:279" x14ac:dyDescent="0.25">
      <c r="A21" s="25"/>
      <c r="B21" s="26"/>
      <c r="C21" s="26"/>
      <c r="D21" s="27"/>
      <c r="E21" s="27"/>
      <c r="F21" s="27"/>
      <c r="G21" s="27"/>
      <c r="H21" s="27"/>
      <c r="I21" s="27"/>
      <c r="J21" s="27"/>
      <c r="K21" s="27"/>
      <c r="L21" s="16"/>
      <c r="M21" s="16"/>
      <c r="N21" s="16"/>
    </row>
    <row r="22" spans="1:279" x14ac:dyDescent="0.25">
      <c r="A22" s="28" t="s">
        <v>1005</v>
      </c>
      <c r="B22" s="25"/>
      <c r="C22" s="25"/>
      <c r="D22" s="19"/>
      <c r="E22" s="19"/>
      <c r="F22" s="19"/>
      <c r="G22" s="19"/>
      <c r="H22" s="19"/>
      <c r="I22" s="19"/>
      <c r="J22" s="19"/>
      <c r="K22" s="19"/>
    </row>
    <row r="23" spans="1:279" x14ac:dyDescent="0.25">
      <c r="A23" s="29" t="s">
        <v>1006</v>
      </c>
      <c r="B23" s="25"/>
      <c r="C23" s="25"/>
      <c r="D23" s="19"/>
      <c r="E23" s="19"/>
      <c r="F23" s="19"/>
      <c r="G23" s="19"/>
      <c r="H23" s="19"/>
      <c r="I23" s="19"/>
      <c r="J23" s="19"/>
      <c r="K23" s="19"/>
      <c r="L23" s="16"/>
      <c r="M23" s="16"/>
      <c r="N23" s="16"/>
    </row>
    <row r="24" spans="1:279" x14ac:dyDescent="0.25">
      <c r="A24" s="15"/>
      <c r="B24" s="13"/>
      <c r="C24" s="13"/>
      <c r="F24" s="16"/>
      <c r="G24" s="16"/>
      <c r="H24" s="16"/>
      <c r="I24" s="16"/>
      <c r="K24" s="16"/>
      <c r="L24" s="16"/>
      <c r="M24" s="16"/>
      <c r="N24" s="16"/>
    </row>
    <row r="25" spans="1:279" x14ac:dyDescent="0.25">
      <c r="A25" s="11"/>
      <c r="B25" s="12"/>
      <c r="C25" s="12"/>
    </row>
    <row r="26" spans="1:279" x14ac:dyDescent="0.25">
      <c r="A26" s="11"/>
      <c r="B26" s="12"/>
      <c r="C26" s="12"/>
      <c r="F26" s="16"/>
      <c r="G26" s="16"/>
      <c r="H26" s="16"/>
      <c r="I26" s="16"/>
      <c r="K26" s="16"/>
      <c r="L26" s="16"/>
      <c r="M26" s="16"/>
      <c r="N26" s="16"/>
    </row>
    <row r="27" spans="1:279" x14ac:dyDescent="0.25">
      <c r="A27" s="11"/>
      <c r="B27" s="12"/>
      <c r="C27" s="12"/>
      <c r="F27" s="16"/>
      <c r="G27" s="16"/>
      <c r="H27" s="16"/>
      <c r="I27" s="16"/>
      <c r="K27" s="16"/>
      <c r="L27" s="16"/>
      <c r="M27" s="16"/>
      <c r="N27" s="16"/>
    </row>
    <row r="28" spans="1:279" x14ac:dyDescent="0.25">
      <c r="A28" s="11"/>
      <c r="B28" s="12"/>
      <c r="C28" s="12"/>
      <c r="F28" s="16"/>
      <c r="G28" s="16"/>
      <c r="H28" s="16"/>
      <c r="I28" s="16"/>
      <c r="K28" s="16"/>
      <c r="L28" s="16"/>
      <c r="M28" s="16"/>
      <c r="N28" s="16"/>
    </row>
    <row r="29" spans="1:279" x14ac:dyDescent="0.25">
      <c r="A29" s="11"/>
      <c r="B29" s="12"/>
      <c r="C29" s="12"/>
    </row>
    <row r="30" spans="1:279" x14ac:dyDescent="0.25">
      <c r="A30" s="11"/>
      <c r="B30" s="8"/>
      <c r="C30" s="8"/>
      <c r="F30" s="16"/>
      <c r="G30" s="16"/>
      <c r="H30" s="16"/>
      <c r="I30" s="16"/>
      <c r="K30" s="16"/>
      <c r="L30" s="16"/>
      <c r="M30" s="16"/>
      <c r="N30" s="16"/>
    </row>
    <row r="31" spans="1:279" x14ac:dyDescent="0.25">
      <c r="A31" s="11"/>
      <c r="B31" s="12"/>
      <c r="C31" s="12"/>
      <c r="F31" s="16"/>
      <c r="G31" s="16"/>
      <c r="H31" s="16"/>
      <c r="I31" s="16"/>
      <c r="K31" s="16"/>
      <c r="L31" s="16"/>
      <c r="M31" s="16"/>
      <c r="N31" s="16"/>
    </row>
    <row r="34" spans="1:1" x14ac:dyDescent="0.25">
      <c r="A34" s="8"/>
    </row>
  </sheetData>
  <mergeCells count="4">
    <mergeCell ref="D13:E13"/>
    <mergeCell ref="F13:G13"/>
    <mergeCell ref="D14:G14"/>
    <mergeCell ref="I14:L14"/>
  </mergeCells>
  <hyperlinks>
    <hyperlink ref="A5" location="Índice!A1" display="Índice/Contents" xr:uid="{582E7F8E-9852-4C11-9F34-87433064B675}"/>
  </hyperlinks>
  <pageMargins left="0.7" right="0.7" top="0.75" bottom="0.75" header="0.3" footer="0.3"/>
  <pageSetup paperSize="9" orientation="portrait" horizontalDpi="1200" verticalDpi="1200"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C4BD-3536-4E31-BF0F-95BD005E8030}">
  <sheetPr codeName="Sheet60">
    <tabColor theme="5" tint="0.89999084444715716"/>
  </sheetPr>
  <dimension ref="A5:Y39"/>
  <sheetViews>
    <sheetView showGridLines="0" showRowColHeaders="0" topLeftCell="A5" workbookViewId="0">
      <selection activeCell="C16" sqref="C16:G24"/>
    </sheetView>
  </sheetViews>
  <sheetFormatPr defaultRowHeight="15" x14ac:dyDescent="0.25"/>
  <cols>
    <col min="1" max="1" width="61.140625" customWidth="1"/>
    <col min="2" max="2" width="40.42578125" customWidth="1"/>
    <col min="3" max="7" width="22.85546875" customWidth="1"/>
    <col min="8" max="11" width="11.140625" customWidth="1"/>
    <col min="12" max="26" width="8.42578125" customWidth="1"/>
  </cols>
  <sheetData>
    <row r="5" spans="1:13" ht="36" customHeight="1" x14ac:dyDescent="0.25">
      <c r="A5" s="10" t="s">
        <v>3</v>
      </c>
    </row>
    <row r="6" spans="1:13" ht="18.75" x14ac:dyDescent="0.25">
      <c r="A6" s="6" t="s">
        <v>179</v>
      </c>
    </row>
    <row r="7" spans="1:13" x14ac:dyDescent="0.25">
      <c r="A7" s="78" t="str">
        <f>+Índice!A136</f>
        <v>Parte III. Políticas em análise: Juros e gestão da dívida pública em Portugal/Policy insights: Interest expenditure and public debt management in Portugal</v>
      </c>
    </row>
    <row r="8" spans="1:13" ht="18.75" x14ac:dyDescent="0.25">
      <c r="A8" s="6"/>
    </row>
    <row r="9" spans="1:13" x14ac:dyDescent="0.25">
      <c r="A9" s="7"/>
    </row>
    <row r="10" spans="1:13" x14ac:dyDescent="0.25">
      <c r="A10" t="s">
        <v>1022</v>
      </c>
    </row>
    <row r="11" spans="1:13" x14ac:dyDescent="0.25">
      <c r="A11" s="8" t="s">
        <v>1023</v>
      </c>
    </row>
    <row r="12" spans="1:13" x14ac:dyDescent="0.25">
      <c r="A12" s="8"/>
    </row>
    <row r="13" spans="1:13" x14ac:dyDescent="0.25">
      <c r="A13" s="9" t="s">
        <v>2</v>
      </c>
      <c r="C13" s="296" t="s">
        <v>4</v>
      </c>
      <c r="D13" s="296" t="s">
        <v>4</v>
      </c>
      <c r="E13" s="296" t="s">
        <v>4</v>
      </c>
      <c r="F13" s="296" t="s">
        <v>4</v>
      </c>
      <c r="G13" s="296" t="s">
        <v>4</v>
      </c>
      <c r="H13" s="46"/>
      <c r="I13" s="46"/>
      <c r="J13" s="46"/>
    </row>
    <row r="14" spans="1:13" x14ac:dyDescent="0.25">
      <c r="A14" s="8"/>
      <c r="C14" s="300" t="s">
        <v>1564</v>
      </c>
      <c r="D14" s="406" t="s">
        <v>1561</v>
      </c>
      <c r="E14" s="406" t="s">
        <v>1570</v>
      </c>
      <c r="F14" s="406" t="s">
        <v>1566</v>
      </c>
      <c r="G14" s="406" t="s">
        <v>1568</v>
      </c>
      <c r="H14" s="46"/>
      <c r="I14" s="46"/>
      <c r="J14" s="46"/>
    </row>
    <row r="15" spans="1:13" x14ac:dyDescent="0.25">
      <c r="C15" s="301" t="s">
        <v>1565</v>
      </c>
      <c r="D15" s="407" t="s">
        <v>1562</v>
      </c>
      <c r="E15" s="407" t="s">
        <v>1563</v>
      </c>
      <c r="F15" s="407" t="s">
        <v>1567</v>
      </c>
      <c r="G15" s="407" t="s">
        <v>1569</v>
      </c>
      <c r="H15" s="46"/>
      <c r="I15" s="46"/>
      <c r="J15" s="46"/>
      <c r="K15" s="117"/>
      <c r="L15" s="117"/>
      <c r="M15" s="117"/>
    </row>
    <row r="16" spans="1:13" x14ac:dyDescent="0.25">
      <c r="A16" t="s">
        <v>960</v>
      </c>
      <c r="B16" t="s">
        <v>1014</v>
      </c>
      <c r="C16" s="53">
        <v>15.899047621600046</v>
      </c>
      <c r="D16" s="53">
        <v>7.7788541419921993</v>
      </c>
      <c r="E16" s="53">
        <v>62.696102967206905</v>
      </c>
      <c r="F16" s="118">
        <v>2.1066286432017645</v>
      </c>
      <c r="G16" s="16">
        <v>11.519360188028399</v>
      </c>
      <c r="K16" s="117"/>
      <c r="L16" s="117"/>
      <c r="M16" s="117"/>
    </row>
    <row r="17" spans="1:25" x14ac:dyDescent="0.25">
      <c r="B17" t="s">
        <v>989</v>
      </c>
      <c r="C17" s="53">
        <v>7.0932736410612502</v>
      </c>
      <c r="D17" s="53">
        <v>5.1981155087769739</v>
      </c>
      <c r="E17" s="53">
        <v>48.5288957823904</v>
      </c>
      <c r="F17" s="118">
        <v>1.6424259799168295</v>
      </c>
      <c r="G17" s="16">
        <v>37.537313009535943</v>
      </c>
      <c r="K17" s="117"/>
      <c r="L17" s="117"/>
      <c r="M17" s="117"/>
    </row>
    <row r="18" spans="1:25" x14ac:dyDescent="0.25">
      <c r="B18" t="s">
        <v>990</v>
      </c>
      <c r="C18" s="53">
        <v>11.805759660721751</v>
      </c>
      <c r="D18" s="53">
        <v>4.6871953514762197</v>
      </c>
      <c r="E18" s="53">
        <v>53.541155627720862</v>
      </c>
      <c r="F18" s="118">
        <v>0.74561719788980629</v>
      </c>
      <c r="G18" s="16">
        <v>29.220284029179517</v>
      </c>
      <c r="K18" s="117"/>
      <c r="L18" s="117"/>
      <c r="M18" s="117"/>
    </row>
    <row r="19" spans="1:25" x14ac:dyDescent="0.25">
      <c r="B19" t="s">
        <v>991</v>
      </c>
      <c r="C19" s="53">
        <v>14.550830967939913</v>
      </c>
      <c r="D19" s="53">
        <v>2.3074102364855071</v>
      </c>
      <c r="E19" s="53">
        <v>57.2631740453605</v>
      </c>
      <c r="F19" s="118">
        <v>0.54093577447562802</v>
      </c>
      <c r="G19" s="16">
        <v>25.337648975738457</v>
      </c>
      <c r="K19" s="117"/>
      <c r="L19" s="117"/>
      <c r="M19" s="117"/>
    </row>
    <row r="20" spans="1:25" x14ac:dyDescent="0.25">
      <c r="C20" s="53"/>
      <c r="D20" s="53"/>
      <c r="E20" s="53"/>
      <c r="F20" s="118"/>
      <c r="G20" s="16"/>
      <c r="K20" s="117"/>
      <c r="L20" s="117"/>
      <c r="M20" s="117"/>
    </row>
    <row r="21" spans="1:25" x14ac:dyDescent="0.25">
      <c r="A21" t="s">
        <v>1015</v>
      </c>
      <c r="B21" s="16" t="s">
        <v>1014</v>
      </c>
      <c r="C21" s="53">
        <v>4.5704727723494107</v>
      </c>
      <c r="D21" s="53">
        <v>6.4915325845535818</v>
      </c>
      <c r="E21" s="53">
        <v>70.582196599252015</v>
      </c>
      <c r="F21" s="53">
        <v>1.6685716211086565</v>
      </c>
      <c r="G21" s="16">
        <v>16.687226422736334</v>
      </c>
      <c r="H21" s="16"/>
      <c r="I21" s="16"/>
      <c r="J21" s="16"/>
      <c r="K21" s="16"/>
      <c r="L21" s="16"/>
      <c r="M21" s="16"/>
    </row>
    <row r="22" spans="1:25" x14ac:dyDescent="0.25">
      <c r="B22" s="16" t="s">
        <v>989</v>
      </c>
      <c r="C22" s="53">
        <v>3.7976125992006353</v>
      </c>
      <c r="D22" s="53">
        <v>6.963498942022075</v>
      </c>
      <c r="E22" s="53">
        <v>70.220316955204723</v>
      </c>
      <c r="F22" s="53">
        <v>2.3321217720762655</v>
      </c>
      <c r="G22" s="16">
        <v>16.686449731496303</v>
      </c>
      <c r="H22" s="16"/>
      <c r="I22" s="16"/>
      <c r="J22" s="16"/>
      <c r="K22" s="16"/>
      <c r="L22" s="16"/>
      <c r="M22" s="16"/>
    </row>
    <row r="23" spans="1:25" x14ac:dyDescent="0.25">
      <c r="B23" s="227" t="s">
        <v>990</v>
      </c>
      <c r="C23" s="118">
        <v>3.4901200320628107</v>
      </c>
      <c r="D23" s="118">
        <v>5.5597766346473225</v>
      </c>
      <c r="E23" s="118">
        <v>74.664434027922397</v>
      </c>
      <c r="F23" s="118">
        <v>1.4763082680308934</v>
      </c>
      <c r="G23" s="227">
        <v>14.809361037336592</v>
      </c>
      <c r="H23" s="227"/>
      <c r="I23" s="227"/>
      <c r="J23" s="227"/>
      <c r="K23" s="16"/>
      <c r="L23" s="16"/>
      <c r="M23" s="16"/>
    </row>
    <row r="24" spans="1:25" x14ac:dyDescent="0.25">
      <c r="B24" s="227" t="s">
        <v>991</v>
      </c>
      <c r="C24" s="118">
        <v>2.969982968447737</v>
      </c>
      <c r="D24" s="118">
        <v>5.462195230441484</v>
      </c>
      <c r="E24" s="118">
        <v>77.014359457235344</v>
      </c>
      <c r="F24" s="118">
        <v>1.5154622135415581</v>
      </c>
      <c r="G24" s="227">
        <v>13.038000130333877</v>
      </c>
      <c r="H24" s="227"/>
      <c r="I24" s="227"/>
      <c r="J24" s="227"/>
      <c r="K24" s="16"/>
      <c r="L24" s="16"/>
      <c r="M24" s="16"/>
    </row>
    <row r="25" spans="1:25" x14ac:dyDescent="0.25">
      <c r="A25" s="24"/>
      <c r="B25" s="85"/>
      <c r="C25" s="304"/>
      <c r="D25" s="304"/>
      <c r="E25" s="304"/>
      <c r="F25" s="304"/>
      <c r="G25" s="304"/>
      <c r="H25" s="304"/>
      <c r="I25" s="304"/>
      <c r="J25" s="304"/>
      <c r="K25" s="304"/>
      <c r="L25" s="304"/>
      <c r="M25" s="304"/>
      <c r="N25" s="304"/>
      <c r="O25" s="304"/>
      <c r="P25" s="304"/>
      <c r="Q25" s="304"/>
      <c r="R25" s="304"/>
      <c r="S25" s="304"/>
      <c r="T25" s="304"/>
      <c r="U25" s="304"/>
      <c r="V25" s="304"/>
      <c r="W25" s="304"/>
      <c r="X25" s="304"/>
      <c r="Y25" s="304"/>
    </row>
    <row r="26" spans="1:25" x14ac:dyDescent="0.25">
      <c r="A26" s="25"/>
      <c r="B26" s="26"/>
      <c r="C26" s="27"/>
      <c r="D26" s="27"/>
      <c r="E26" s="27"/>
      <c r="F26" s="27"/>
      <c r="G26" s="27"/>
      <c r="H26" s="27"/>
      <c r="I26" s="27"/>
      <c r="J26" s="27"/>
      <c r="K26" s="16"/>
      <c r="L26" s="16"/>
      <c r="M26" s="16"/>
    </row>
    <row r="27" spans="1:25" x14ac:dyDescent="0.25">
      <c r="A27" s="28" t="s">
        <v>1024</v>
      </c>
      <c r="B27" s="25"/>
      <c r="C27" s="19"/>
      <c r="D27" s="19"/>
      <c r="E27" s="19"/>
      <c r="F27" s="19"/>
      <c r="G27" s="19"/>
      <c r="H27" s="19"/>
      <c r="I27" s="19"/>
      <c r="J27" s="19"/>
    </row>
    <row r="28" spans="1:25" x14ac:dyDescent="0.25">
      <c r="A28" s="29" t="s">
        <v>1025</v>
      </c>
      <c r="B28" s="25"/>
      <c r="C28" s="19"/>
      <c r="D28" s="19"/>
      <c r="E28" s="19"/>
      <c r="F28" s="19"/>
      <c r="G28" s="19"/>
      <c r="H28" s="19"/>
      <c r="I28" s="19"/>
      <c r="J28" s="19"/>
      <c r="K28" s="16"/>
      <c r="L28" s="16"/>
      <c r="M28" s="16"/>
    </row>
    <row r="29" spans="1:25" x14ac:dyDescent="0.25">
      <c r="A29" s="15"/>
      <c r="B29" s="13"/>
      <c r="E29" s="16"/>
      <c r="F29" s="16"/>
      <c r="G29" s="16"/>
      <c r="H29" s="16"/>
      <c r="J29" s="16"/>
      <c r="K29" s="16"/>
      <c r="L29" s="16"/>
      <c r="M29" s="16"/>
    </row>
    <row r="30" spans="1:25" x14ac:dyDescent="0.25">
      <c r="A30" s="11"/>
      <c r="B30" s="12"/>
    </row>
    <row r="31" spans="1:25" x14ac:dyDescent="0.25">
      <c r="A31" s="11"/>
      <c r="B31" s="12"/>
      <c r="E31" s="16"/>
      <c r="F31" s="16"/>
      <c r="G31" s="16"/>
      <c r="H31" s="16"/>
      <c r="J31" s="16"/>
      <c r="K31" s="16"/>
      <c r="L31" s="16"/>
      <c r="M31" s="16"/>
    </row>
    <row r="32" spans="1:25" x14ac:dyDescent="0.25">
      <c r="A32" s="11"/>
      <c r="B32" s="12"/>
      <c r="E32" s="16"/>
      <c r="F32" s="16"/>
      <c r="G32" s="16"/>
      <c r="H32" s="16"/>
      <c r="J32" s="16"/>
      <c r="K32" s="16"/>
      <c r="L32" s="16"/>
      <c r="M32" s="16"/>
    </row>
    <row r="33" spans="1:13" x14ac:dyDescent="0.25">
      <c r="A33" s="11"/>
      <c r="B33" s="12"/>
      <c r="E33" s="16"/>
      <c r="F33" s="16"/>
      <c r="G33" s="16"/>
      <c r="H33" s="16"/>
      <c r="J33" s="16"/>
      <c r="K33" s="16"/>
      <c r="L33" s="16"/>
      <c r="M33" s="16"/>
    </row>
    <row r="34" spans="1:13" x14ac:dyDescent="0.25">
      <c r="A34" s="11"/>
      <c r="B34" s="12"/>
    </row>
    <row r="35" spans="1:13" x14ac:dyDescent="0.25">
      <c r="A35" s="11"/>
      <c r="B35" s="8"/>
      <c r="E35" s="16"/>
      <c r="F35" s="16"/>
      <c r="G35" s="16"/>
      <c r="H35" s="16"/>
      <c r="J35" s="16"/>
      <c r="K35" s="16"/>
      <c r="L35" s="16"/>
      <c r="M35" s="16"/>
    </row>
    <row r="36" spans="1:13" x14ac:dyDescent="0.25">
      <c r="A36" s="11"/>
      <c r="B36" s="12"/>
      <c r="E36" s="16"/>
      <c r="F36" s="16"/>
      <c r="G36" s="16"/>
      <c r="H36" s="16"/>
      <c r="J36" s="16"/>
      <c r="K36" s="16"/>
      <c r="L36" s="16"/>
      <c r="M36" s="16"/>
    </row>
    <row r="39" spans="1:13" x14ac:dyDescent="0.25">
      <c r="A39" s="8"/>
    </row>
  </sheetData>
  <hyperlinks>
    <hyperlink ref="A5" location="Índice!A1" display="Índice/Contents" xr:uid="{87525E6D-2E70-4BEE-BB13-496FF0C9FC66}"/>
  </hyperlinks>
  <pageMargins left="0.7" right="0.7" top="0.75" bottom="0.75" header="0.3" footer="0.3"/>
  <pageSetup paperSize="9" orientation="portrait" horizontalDpi="1200" verticalDpi="1200"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EF88-A704-4C6B-B1A0-8F02283121D3}">
  <sheetPr codeName="Sheet61">
    <tabColor theme="5" tint="0.89999084444715716"/>
  </sheetPr>
  <dimension ref="A5:AA35"/>
  <sheetViews>
    <sheetView showGridLines="0" showRowColHeaders="0" topLeftCell="A7" workbookViewId="0">
      <selection sqref="A1:XFD1048576"/>
    </sheetView>
  </sheetViews>
  <sheetFormatPr defaultRowHeight="15" x14ac:dyDescent="0.25"/>
  <cols>
    <col min="1" max="1" width="61.140625" customWidth="1"/>
    <col min="2" max="3" width="40.42578125" customWidth="1"/>
    <col min="4" max="27" width="8.42578125" customWidth="1"/>
  </cols>
  <sheetData>
    <row r="5" spans="1:27" ht="36" customHeight="1" x14ac:dyDescent="0.25">
      <c r="A5" s="10" t="s">
        <v>3</v>
      </c>
    </row>
    <row r="6" spans="1:27" ht="18.75" x14ac:dyDescent="0.25">
      <c r="A6" s="6" t="s">
        <v>179</v>
      </c>
    </row>
    <row r="7" spans="1:27" x14ac:dyDescent="0.25">
      <c r="A7" s="78" t="str">
        <f>+Índice!A136</f>
        <v>Parte III. Políticas em análise: Juros e gestão da dívida pública em Portugal/Policy insights: Interest expenditure and public debt management in Portugal</v>
      </c>
    </row>
    <row r="8" spans="1:27" ht="18.75" x14ac:dyDescent="0.25">
      <c r="A8" s="6"/>
    </row>
    <row r="9" spans="1:27" x14ac:dyDescent="0.25">
      <c r="A9" s="7"/>
    </row>
    <row r="10" spans="1:27" x14ac:dyDescent="0.25">
      <c r="A10" t="s">
        <v>976</v>
      </c>
    </row>
    <row r="11" spans="1:27" x14ac:dyDescent="0.25">
      <c r="A11" s="8" t="s">
        <v>977</v>
      </c>
    </row>
    <row r="12" spans="1:27" x14ac:dyDescent="0.25">
      <c r="A12" s="8"/>
    </row>
    <row r="13" spans="1:27" x14ac:dyDescent="0.25">
      <c r="A13" s="9" t="s">
        <v>2</v>
      </c>
      <c r="D13" s="417"/>
      <c r="E13" s="417"/>
      <c r="F13" s="417"/>
      <c r="G13" s="417"/>
    </row>
    <row r="14" spans="1:27" x14ac:dyDescent="0.25">
      <c r="A14" s="8"/>
      <c r="D14" s="300"/>
      <c r="E14" s="300"/>
      <c r="F14" s="300"/>
      <c r="G14" s="300"/>
    </row>
    <row r="15" spans="1:27" x14ac:dyDescent="0.25">
      <c r="A15" s="8"/>
      <c r="D15" s="117">
        <v>2000</v>
      </c>
      <c r="E15" s="117">
        <v>2001</v>
      </c>
      <c r="F15" s="117">
        <f t="shared" ref="F15:AA15" si="0">+E15+1</f>
        <v>2002</v>
      </c>
      <c r="G15" s="117">
        <f t="shared" si="0"/>
        <v>2003</v>
      </c>
      <c r="H15" s="117">
        <f t="shared" si="0"/>
        <v>2004</v>
      </c>
      <c r="I15" s="117">
        <f t="shared" si="0"/>
        <v>2005</v>
      </c>
      <c r="J15" s="117">
        <f t="shared" si="0"/>
        <v>2006</v>
      </c>
      <c r="K15" s="117">
        <f t="shared" si="0"/>
        <v>2007</v>
      </c>
      <c r="L15" s="117">
        <f t="shared" si="0"/>
        <v>2008</v>
      </c>
      <c r="M15" s="117">
        <f t="shared" si="0"/>
        <v>2009</v>
      </c>
      <c r="N15" s="117">
        <f t="shared" si="0"/>
        <v>2010</v>
      </c>
      <c r="O15" s="117">
        <f t="shared" si="0"/>
        <v>2011</v>
      </c>
      <c r="P15" s="117">
        <f t="shared" si="0"/>
        <v>2012</v>
      </c>
      <c r="Q15" s="117">
        <f t="shared" si="0"/>
        <v>2013</v>
      </c>
      <c r="R15" s="117">
        <f t="shared" si="0"/>
        <v>2014</v>
      </c>
      <c r="S15" s="117">
        <f t="shared" si="0"/>
        <v>2015</v>
      </c>
      <c r="T15" s="117">
        <f t="shared" si="0"/>
        <v>2016</v>
      </c>
      <c r="U15" s="117">
        <f t="shared" si="0"/>
        <v>2017</v>
      </c>
      <c r="V15" s="117">
        <f t="shared" si="0"/>
        <v>2018</v>
      </c>
      <c r="W15" s="117">
        <f t="shared" si="0"/>
        <v>2019</v>
      </c>
      <c r="X15" s="117">
        <f t="shared" si="0"/>
        <v>2020</v>
      </c>
      <c r="Y15" s="117">
        <f t="shared" si="0"/>
        <v>2021</v>
      </c>
      <c r="Z15" s="117">
        <f t="shared" si="0"/>
        <v>2022</v>
      </c>
      <c r="AA15" s="117">
        <f t="shared" si="0"/>
        <v>2023</v>
      </c>
    </row>
    <row r="16" spans="1:27" x14ac:dyDescent="0.25">
      <c r="A16" s="24" t="s">
        <v>960</v>
      </c>
      <c r="B16" s="23" t="s">
        <v>960</v>
      </c>
      <c r="C16" s="23" t="s">
        <v>1220</v>
      </c>
      <c r="D16" s="302">
        <v>4.0999999999999996</v>
      </c>
      <c r="E16" s="302">
        <v>3.9</v>
      </c>
      <c r="F16" s="302">
        <v>4.0999999999999996</v>
      </c>
      <c r="G16" s="302">
        <v>3.8</v>
      </c>
      <c r="H16" s="16">
        <v>3.4</v>
      </c>
      <c r="I16" s="16">
        <v>4.0999999999999996</v>
      </c>
      <c r="J16" s="16">
        <v>5.2</v>
      </c>
      <c r="K16" s="16">
        <v>5.3</v>
      </c>
      <c r="L16" s="16">
        <v>5.5</v>
      </c>
      <c r="M16" s="16">
        <v>5.4</v>
      </c>
      <c r="N16" s="16">
        <v>5.3</v>
      </c>
      <c r="O16" s="16">
        <v>6.3</v>
      </c>
      <c r="P16" s="16">
        <v>6.5</v>
      </c>
      <c r="Q16" s="16">
        <v>7.8</v>
      </c>
      <c r="R16" s="16">
        <v>7.8</v>
      </c>
      <c r="S16" s="16">
        <v>7.3</v>
      </c>
      <c r="T16" s="16">
        <v>7.3</v>
      </c>
      <c r="U16" s="16">
        <v>7.02</v>
      </c>
      <c r="V16" s="16">
        <v>6.82</v>
      </c>
      <c r="W16" s="16">
        <v>6.72</v>
      </c>
      <c r="X16" s="16">
        <v>6.6</v>
      </c>
      <c r="Y16" s="16">
        <v>6.87</v>
      </c>
      <c r="Z16" s="16">
        <v>6.7</v>
      </c>
      <c r="AA16" s="16">
        <v>6.4</v>
      </c>
    </row>
    <row r="17" spans="1:27" x14ac:dyDescent="0.25">
      <c r="A17" s="24" t="s">
        <v>1029</v>
      </c>
      <c r="B17" s="23" t="s">
        <v>1028</v>
      </c>
      <c r="C17" s="23" t="s">
        <v>1220</v>
      </c>
      <c r="D17" s="302">
        <v>5.1024216293636853</v>
      </c>
      <c r="E17" s="302">
        <v>4.8102778801609452</v>
      </c>
      <c r="F17" s="302">
        <v>5.009272462132083</v>
      </c>
      <c r="G17" s="302">
        <v>4.5775641652322179</v>
      </c>
      <c r="H17" s="16">
        <v>4.0268651601195051</v>
      </c>
      <c r="I17" s="16">
        <v>4.7775579544669178</v>
      </c>
      <c r="J17" s="16">
        <v>6.0522014065543051</v>
      </c>
      <c r="K17" s="16">
        <v>6.173050950580115</v>
      </c>
      <c r="L17" s="16">
        <v>6.2997047707231504</v>
      </c>
      <c r="M17" s="16">
        <v>6.0642950159306546</v>
      </c>
      <c r="N17" s="16">
        <v>5.8226244569533243</v>
      </c>
      <c r="O17" s="16">
        <v>6.5338104949362918</v>
      </c>
      <c r="P17" s="16">
        <v>5.3860839322941878</v>
      </c>
      <c r="Q17" s="16">
        <v>5.334281836603556</v>
      </c>
      <c r="R17" s="16">
        <v>5.7519221496169068</v>
      </c>
      <c r="S17" s="16">
        <v>5.4335891587729686</v>
      </c>
      <c r="T17" s="16">
        <v>6.0381865105272734</v>
      </c>
      <c r="U17" s="16">
        <v>5.900624527142976</v>
      </c>
      <c r="V17" s="16">
        <v>5.915189596564451</v>
      </c>
      <c r="W17" s="16">
        <v>6.1011927060175779</v>
      </c>
      <c r="X17" s="16">
        <v>6.2809400462171876</v>
      </c>
      <c r="Y17" s="16">
        <v>6.9423206086631541</v>
      </c>
      <c r="Z17" s="16">
        <v>7.0989785979581255</v>
      </c>
      <c r="AA17" s="16">
        <v>7.3080579811749313</v>
      </c>
    </row>
    <row r="18" spans="1:27" x14ac:dyDescent="0.25">
      <c r="A18" s="24" t="s">
        <v>962</v>
      </c>
      <c r="B18" s="23" t="s">
        <v>961</v>
      </c>
      <c r="C18" s="23" t="s">
        <v>1220</v>
      </c>
      <c r="D18" s="302">
        <v>5.851</v>
      </c>
      <c r="E18" s="302">
        <v>5.7869999999999999</v>
      </c>
      <c r="F18" s="302">
        <v>5.67</v>
      </c>
      <c r="G18" s="302">
        <v>5.9240000000000004</v>
      </c>
      <c r="H18" s="16">
        <v>6.181</v>
      </c>
      <c r="I18" s="16">
        <v>6.5979999999999999</v>
      </c>
      <c r="J18" s="16">
        <v>6.843</v>
      </c>
      <c r="K18" s="16">
        <v>7.0469999999999997</v>
      </c>
      <c r="L18" s="16">
        <v>6.7519999999999998</v>
      </c>
      <c r="M18" s="16">
        <v>6.65</v>
      </c>
      <c r="N18" s="16">
        <v>6.7480000000000002</v>
      </c>
      <c r="O18" s="16">
        <v>6.7279999999999998</v>
      </c>
      <c r="P18" s="16">
        <v>7.0750000000000002</v>
      </c>
      <c r="Q18" s="16">
        <v>7.2030000000000003</v>
      </c>
      <c r="R18" s="16">
        <v>7.2439999999999998</v>
      </c>
      <c r="S18" s="16">
        <v>7.399</v>
      </c>
      <c r="T18" s="16">
        <v>7.7409999999999997</v>
      </c>
      <c r="U18" s="16">
        <v>8.0239999999999991</v>
      </c>
      <c r="V18" s="16">
        <v>8.2149999999999999</v>
      </c>
      <c r="W18" s="16">
        <v>8.4689999999999994</v>
      </c>
      <c r="X18" s="16">
        <v>8.49</v>
      </c>
      <c r="Y18" s="16">
        <v>8.7170000000000005</v>
      </c>
      <c r="Z18" s="16">
        <v>8.6300000000000008</v>
      </c>
      <c r="AA18" s="16">
        <v>8.7829999999999995</v>
      </c>
    </row>
    <row r="19" spans="1:27" x14ac:dyDescent="0.25">
      <c r="A19" s="24" t="s">
        <v>963</v>
      </c>
      <c r="B19" s="23" t="s">
        <v>965</v>
      </c>
      <c r="C19" s="23" t="s">
        <v>1220</v>
      </c>
      <c r="D19" s="305">
        <v>3.1</v>
      </c>
      <c r="E19" s="305">
        <v>2.5</v>
      </c>
      <c r="F19" s="305">
        <v>3.1</v>
      </c>
      <c r="G19" s="305">
        <v>3.3</v>
      </c>
      <c r="H19" s="306">
        <v>3.1</v>
      </c>
      <c r="I19" s="306">
        <v>3.3</v>
      </c>
      <c r="J19" s="306">
        <v>4</v>
      </c>
      <c r="K19" s="306">
        <v>4</v>
      </c>
      <c r="L19" s="227">
        <v>4</v>
      </c>
      <c r="M19" s="227">
        <v>4</v>
      </c>
      <c r="N19" s="227">
        <v>5</v>
      </c>
      <c r="O19" s="227">
        <v>4.5999999999999996</v>
      </c>
      <c r="P19" s="227">
        <v>4.5</v>
      </c>
      <c r="Q19" s="227">
        <v>5.0999999999999996</v>
      </c>
      <c r="R19" s="227">
        <v>5</v>
      </c>
      <c r="S19" s="227">
        <v>5.85</v>
      </c>
      <c r="T19" s="227">
        <v>6</v>
      </c>
      <c r="U19" s="227">
        <v>6</v>
      </c>
      <c r="V19" s="227">
        <v>5.9</v>
      </c>
      <c r="W19" s="227">
        <v>5.6</v>
      </c>
      <c r="X19" s="227">
        <v>6</v>
      </c>
      <c r="Y19" s="227">
        <v>6.1</v>
      </c>
      <c r="Z19" s="227">
        <v>6.5</v>
      </c>
      <c r="AA19" s="227">
        <v>6.4</v>
      </c>
    </row>
    <row r="20" spans="1:27" x14ac:dyDescent="0.25">
      <c r="A20" s="24" t="s">
        <v>964</v>
      </c>
      <c r="B20" s="23" t="s">
        <v>966</v>
      </c>
      <c r="C20" s="23" t="s">
        <v>1220</v>
      </c>
      <c r="D20" s="305">
        <v>7.2839999999999989</v>
      </c>
      <c r="E20" s="305">
        <v>7.5979999999999999</v>
      </c>
      <c r="F20" s="305">
        <v>7.879999999999999</v>
      </c>
      <c r="G20" s="305">
        <v>7.99</v>
      </c>
      <c r="H20" s="306">
        <v>7</v>
      </c>
      <c r="I20" s="306">
        <v>7.6</v>
      </c>
      <c r="J20" s="306">
        <v>8.1</v>
      </c>
      <c r="K20" s="306">
        <v>9.1</v>
      </c>
      <c r="L20" s="227">
        <v>8.3000000000000007</v>
      </c>
      <c r="M20" s="227">
        <v>8.4</v>
      </c>
      <c r="N20" s="227">
        <v>8.3000000000000007</v>
      </c>
      <c r="O20" s="227">
        <v>8.1</v>
      </c>
      <c r="P20" s="227">
        <v>8.5</v>
      </c>
      <c r="Q20" s="227">
        <v>11</v>
      </c>
      <c r="R20" s="227">
        <v>11</v>
      </c>
      <c r="S20" s="227">
        <v>11</v>
      </c>
      <c r="T20" s="227">
        <v>11</v>
      </c>
      <c r="U20" s="227">
        <v>11</v>
      </c>
      <c r="V20" s="227">
        <v>10</v>
      </c>
      <c r="W20" s="227">
        <v>10.09</v>
      </c>
      <c r="X20" s="227">
        <v>11</v>
      </c>
      <c r="Y20" s="227">
        <v>10.7</v>
      </c>
      <c r="Z20" s="227">
        <v>10.9</v>
      </c>
      <c r="AA20" s="227">
        <v>11.1</v>
      </c>
    </row>
    <row r="21" spans="1:27" x14ac:dyDescent="0.25">
      <c r="A21" s="23"/>
      <c r="B21" s="24"/>
      <c r="C21" s="24"/>
      <c r="D21" s="85"/>
      <c r="E21" s="304"/>
      <c r="F21" s="304"/>
      <c r="G21" s="304"/>
      <c r="H21" s="304"/>
      <c r="I21" s="304"/>
      <c r="J21" s="304"/>
      <c r="K21" s="304"/>
      <c r="L21" s="304"/>
      <c r="M21" s="304"/>
      <c r="N21" s="304"/>
      <c r="O21" s="304"/>
      <c r="P21" s="304"/>
      <c r="Q21" s="304"/>
      <c r="R21" s="304"/>
      <c r="S21" s="304"/>
      <c r="T21" s="304"/>
      <c r="U21" s="304"/>
      <c r="V21" s="304"/>
      <c r="W21" s="304"/>
      <c r="X21" s="304"/>
      <c r="Y21" s="304"/>
      <c r="Z21" s="304"/>
      <c r="AA21" s="304"/>
    </row>
    <row r="22" spans="1:27" x14ac:dyDescent="0.25">
      <c r="A22" s="25"/>
      <c r="B22" s="26"/>
      <c r="C22" s="26"/>
      <c r="D22" s="27"/>
      <c r="E22" s="27"/>
      <c r="F22" s="27"/>
      <c r="G22" s="27"/>
      <c r="H22" s="27"/>
      <c r="I22" s="27"/>
      <c r="J22" s="27"/>
      <c r="K22" s="27"/>
      <c r="L22" s="16"/>
      <c r="M22" s="16"/>
      <c r="N22" s="16"/>
    </row>
    <row r="23" spans="1:27" x14ac:dyDescent="0.25">
      <c r="A23" s="28" t="s">
        <v>978</v>
      </c>
      <c r="B23" s="25"/>
      <c r="C23" s="25"/>
      <c r="D23" s="19"/>
      <c r="E23" s="19"/>
      <c r="F23" s="19"/>
      <c r="G23" s="19"/>
      <c r="H23" s="19"/>
      <c r="I23" s="19"/>
      <c r="J23" s="19"/>
      <c r="K23" s="19"/>
    </row>
    <row r="24" spans="1:27" x14ac:dyDescent="0.25">
      <c r="A24" s="29" t="s">
        <v>987</v>
      </c>
      <c r="B24" s="25"/>
      <c r="C24" s="25"/>
      <c r="D24" s="19"/>
      <c r="E24" s="19"/>
      <c r="F24" s="19"/>
      <c r="G24" s="19"/>
      <c r="H24" s="19"/>
      <c r="I24" s="19"/>
      <c r="J24" s="19"/>
      <c r="K24" s="19"/>
      <c r="L24" s="16"/>
      <c r="M24" s="16"/>
      <c r="N24" s="16"/>
    </row>
    <row r="25" spans="1:27" x14ac:dyDescent="0.25">
      <c r="A25" s="15"/>
      <c r="B25" s="13"/>
      <c r="C25" s="13"/>
      <c r="F25" s="16"/>
      <c r="G25" s="16"/>
      <c r="H25" s="16"/>
      <c r="I25" s="16"/>
      <c r="K25" s="16"/>
      <c r="L25" s="16"/>
      <c r="M25" s="16"/>
      <c r="N25" s="16"/>
    </row>
    <row r="26" spans="1:27" x14ac:dyDescent="0.25">
      <c r="A26" s="11"/>
      <c r="B26" s="12"/>
      <c r="C26" s="12"/>
    </row>
    <row r="27" spans="1:27" x14ac:dyDescent="0.25">
      <c r="A27" s="11"/>
      <c r="B27" s="12"/>
      <c r="C27" s="12"/>
      <c r="F27" s="16"/>
      <c r="G27" s="16"/>
      <c r="H27" s="16"/>
      <c r="I27" s="16"/>
      <c r="K27" s="16"/>
      <c r="L27" s="16"/>
      <c r="M27" s="16"/>
      <c r="N27" s="16"/>
    </row>
    <row r="28" spans="1:27" x14ac:dyDescent="0.25">
      <c r="A28" s="11"/>
      <c r="B28" s="12"/>
      <c r="C28" s="12"/>
      <c r="F28" s="16"/>
      <c r="G28" s="16"/>
      <c r="H28" s="16"/>
      <c r="I28" s="16"/>
      <c r="K28" s="16"/>
      <c r="L28" s="16"/>
      <c r="M28" s="16"/>
      <c r="N28" s="16"/>
    </row>
    <row r="29" spans="1:27" x14ac:dyDescent="0.25">
      <c r="A29" s="11"/>
      <c r="B29" s="12"/>
      <c r="C29" s="12"/>
      <c r="F29" s="16"/>
      <c r="G29" s="16"/>
      <c r="H29" s="16"/>
      <c r="I29" s="16"/>
      <c r="K29" s="16"/>
      <c r="L29" s="16"/>
      <c r="M29" s="16"/>
      <c r="N29" s="16"/>
    </row>
    <row r="30" spans="1:27" x14ac:dyDescent="0.25">
      <c r="A30" s="11"/>
      <c r="B30" s="12"/>
      <c r="C30" s="12"/>
    </row>
    <row r="31" spans="1:27" x14ac:dyDescent="0.25">
      <c r="A31" s="11"/>
      <c r="B31" s="8"/>
      <c r="C31" s="8"/>
      <c r="F31" s="16"/>
      <c r="G31" s="16"/>
      <c r="H31" s="16"/>
      <c r="I31" s="16"/>
      <c r="K31" s="16"/>
      <c r="L31" s="16"/>
      <c r="M31" s="16"/>
      <c r="N31" s="16"/>
    </row>
    <row r="32" spans="1:27" x14ac:dyDescent="0.25">
      <c r="A32" s="11"/>
      <c r="B32" s="12"/>
      <c r="C32" s="12"/>
      <c r="F32" s="16"/>
      <c r="G32" s="16"/>
      <c r="H32" s="16"/>
      <c r="I32" s="16"/>
      <c r="K32" s="16"/>
      <c r="L32" s="16"/>
      <c r="M32" s="16"/>
      <c r="N32" s="16"/>
    </row>
    <row r="35" spans="1:1" x14ac:dyDescent="0.25">
      <c r="A35" s="8"/>
    </row>
  </sheetData>
  <mergeCells count="2">
    <mergeCell ref="D13:E13"/>
    <mergeCell ref="F13:G13"/>
  </mergeCells>
  <hyperlinks>
    <hyperlink ref="A5" location="Índice!A1" display="Índice/Contents" xr:uid="{B1F9D744-8ED3-4E9C-B33E-247356008ECF}"/>
  </hyperlinks>
  <pageMargins left="0.7" right="0.7" top="0.75" bottom="0.75" header="0.3" footer="0.3"/>
  <pageSetup paperSize="9" orientation="portrait" horizontalDpi="1200" verticalDpi="1200"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AA51E-F024-4B07-99A2-C03EF35399B3}">
  <sheetPr codeName="Sheet62">
    <tabColor theme="5" tint="0.89999084444715716"/>
  </sheetPr>
  <dimension ref="A5:Y39"/>
  <sheetViews>
    <sheetView showGridLines="0" showRowColHeaders="0" topLeftCell="A5" workbookViewId="0">
      <selection sqref="A1:XFD1048576"/>
    </sheetView>
  </sheetViews>
  <sheetFormatPr defaultRowHeight="15" x14ac:dyDescent="0.25"/>
  <cols>
    <col min="1" max="1" width="61.140625" customWidth="1"/>
    <col min="2" max="2" width="40.42578125" customWidth="1"/>
    <col min="3" max="3" width="15.5703125" customWidth="1"/>
    <col min="4" max="7" width="19.5703125" customWidth="1"/>
    <col min="8" max="11" width="11.140625" customWidth="1"/>
    <col min="12" max="26" width="8.42578125" customWidth="1"/>
  </cols>
  <sheetData>
    <row r="5" spans="1:13" ht="36" customHeight="1" x14ac:dyDescent="0.25">
      <c r="A5" s="10" t="s">
        <v>3</v>
      </c>
    </row>
    <row r="6" spans="1:13" ht="18.75" x14ac:dyDescent="0.25">
      <c r="A6" s="6" t="s">
        <v>179</v>
      </c>
    </row>
    <row r="7" spans="1:13" x14ac:dyDescent="0.25">
      <c r="A7" s="78" t="str">
        <f>+Índice!A136</f>
        <v>Parte III. Políticas em análise: Juros e gestão da dívida pública em Portugal/Policy insights: Interest expenditure and public debt management in Portugal</v>
      </c>
    </row>
    <row r="8" spans="1:13" ht="18.75" x14ac:dyDescent="0.25">
      <c r="A8" s="6"/>
    </row>
    <row r="9" spans="1:13" x14ac:dyDescent="0.25">
      <c r="A9" s="7"/>
    </row>
    <row r="10" spans="1:13" x14ac:dyDescent="0.25">
      <c r="A10" t="s">
        <v>1020</v>
      </c>
    </row>
    <row r="11" spans="1:13" x14ac:dyDescent="0.25">
      <c r="A11" s="8" t="s">
        <v>1021</v>
      </c>
    </row>
    <row r="12" spans="1:13" x14ac:dyDescent="0.25">
      <c r="A12" s="8"/>
    </row>
    <row r="13" spans="1:13" x14ac:dyDescent="0.25">
      <c r="A13" s="9" t="s">
        <v>2</v>
      </c>
      <c r="C13" s="296" t="s">
        <v>4</v>
      </c>
      <c r="D13" s="296" t="s">
        <v>4</v>
      </c>
      <c r="E13" s="296" t="s">
        <v>4</v>
      </c>
      <c r="F13" s="296" t="s">
        <v>4</v>
      </c>
    </row>
    <row r="14" spans="1:13" x14ac:dyDescent="0.25">
      <c r="A14" s="8"/>
      <c r="C14" s="300" t="s">
        <v>1010</v>
      </c>
      <c r="D14" s="300" t="s">
        <v>1011</v>
      </c>
      <c r="E14" s="300" t="s">
        <v>1012</v>
      </c>
      <c r="F14" s="117" t="s">
        <v>1013</v>
      </c>
      <c r="G14" s="417"/>
      <c r="H14" s="417"/>
      <c r="I14" s="417"/>
      <c r="J14" s="417"/>
    </row>
    <row r="15" spans="1:13" x14ac:dyDescent="0.25">
      <c r="C15" s="301" t="s">
        <v>1016</v>
      </c>
      <c r="D15" s="301" t="s">
        <v>1017</v>
      </c>
      <c r="E15" s="301" t="s">
        <v>1018</v>
      </c>
      <c r="F15" s="301" t="s">
        <v>1019</v>
      </c>
      <c r="K15" s="117"/>
      <c r="L15" s="117"/>
      <c r="M15" s="117"/>
    </row>
    <row r="16" spans="1:13" x14ac:dyDescent="0.25">
      <c r="A16" t="s">
        <v>960</v>
      </c>
      <c r="B16" t="s">
        <v>1014</v>
      </c>
      <c r="C16" s="53">
        <v>40.704723746414963</v>
      </c>
      <c r="D16" s="53">
        <v>21.031874817222885</v>
      </c>
      <c r="E16" s="53">
        <v>30.106169129274551</v>
      </c>
      <c r="F16" s="118">
        <v>8.1572323070876056</v>
      </c>
      <c r="K16" s="117"/>
      <c r="L16" s="117"/>
      <c r="M16" s="117"/>
    </row>
    <row r="17" spans="1:25" x14ac:dyDescent="0.25">
      <c r="B17" t="s">
        <v>989</v>
      </c>
      <c r="C17" s="53">
        <v>56.89239529285905</v>
      </c>
      <c r="D17" s="53">
        <v>30.603835098316686</v>
      </c>
      <c r="E17" s="53">
        <v>9.8487794213483379</v>
      </c>
      <c r="F17" s="118">
        <v>2.6549901874759279</v>
      </c>
      <c r="K17" s="117"/>
      <c r="L17" s="117"/>
      <c r="M17" s="117"/>
    </row>
    <row r="18" spans="1:25" x14ac:dyDescent="0.25">
      <c r="B18" t="s">
        <v>990</v>
      </c>
      <c r="C18" s="53">
        <v>40.104693664574732</v>
      </c>
      <c r="D18" s="53">
        <v>9.2071221229197366</v>
      </c>
      <c r="E18" s="53">
        <v>29.223092114332736</v>
      </c>
      <c r="F18" s="118">
        <v>21.465092098172793</v>
      </c>
      <c r="K18" s="117"/>
      <c r="L18" s="117"/>
      <c r="M18" s="117"/>
    </row>
    <row r="19" spans="1:25" x14ac:dyDescent="0.25">
      <c r="B19" t="s">
        <v>991</v>
      </c>
      <c r="C19" s="53">
        <v>34.872041934766216</v>
      </c>
      <c r="D19" s="53">
        <v>4.428743703037707</v>
      </c>
      <c r="E19" s="53">
        <v>17.76630797416437</v>
      </c>
      <c r="F19" s="118">
        <v>42.932906388031711</v>
      </c>
      <c r="K19" s="117"/>
      <c r="L19" s="117"/>
      <c r="M19" s="117"/>
    </row>
    <row r="20" spans="1:25" x14ac:dyDescent="0.25">
      <c r="C20" s="53"/>
      <c r="D20" s="53"/>
      <c r="E20" s="53"/>
      <c r="F20" s="118"/>
      <c r="K20" s="117"/>
      <c r="L20" s="117"/>
      <c r="M20" s="117"/>
    </row>
    <row r="21" spans="1:25" x14ac:dyDescent="0.25">
      <c r="A21" t="s">
        <v>1015</v>
      </c>
      <c r="B21" s="16" t="s">
        <v>1014</v>
      </c>
      <c r="C21" s="53">
        <v>51.709095507409003</v>
      </c>
      <c r="D21" s="53">
        <v>24.292927986063646</v>
      </c>
      <c r="E21" s="53">
        <v>16.984164205157931</v>
      </c>
      <c r="F21" s="53">
        <v>7.0138123013694127</v>
      </c>
      <c r="G21" s="16"/>
      <c r="H21" s="16"/>
      <c r="I21" s="16"/>
      <c r="J21" s="16"/>
      <c r="K21" s="16"/>
      <c r="L21" s="16"/>
      <c r="M21" s="16"/>
    </row>
    <row r="22" spans="1:25" x14ac:dyDescent="0.25">
      <c r="B22" s="16" t="s">
        <v>989</v>
      </c>
      <c r="C22" s="53">
        <v>52.269025499352381</v>
      </c>
      <c r="D22" s="53">
        <v>26.182208703068607</v>
      </c>
      <c r="E22" s="53">
        <v>15.405920949672748</v>
      </c>
      <c r="F22" s="53">
        <v>6.142844847906253</v>
      </c>
      <c r="G22" s="16"/>
      <c r="H22" s="16"/>
      <c r="I22" s="16"/>
      <c r="J22" s="16"/>
      <c r="K22" s="16"/>
      <c r="L22" s="16"/>
      <c r="M22" s="16"/>
    </row>
    <row r="23" spans="1:25" x14ac:dyDescent="0.25">
      <c r="B23" s="227" t="s">
        <v>990</v>
      </c>
      <c r="C23" s="118">
        <v>44.80592183270852</v>
      </c>
      <c r="D23" s="118">
        <v>19.938962253662407</v>
      </c>
      <c r="E23" s="118">
        <v>23.005720944858833</v>
      </c>
      <c r="F23" s="118">
        <v>12.249394968770247</v>
      </c>
      <c r="G23" s="227"/>
      <c r="H23" s="227"/>
      <c r="I23" s="227"/>
      <c r="J23" s="227"/>
      <c r="K23" s="16"/>
      <c r="L23" s="16"/>
      <c r="M23" s="16"/>
    </row>
    <row r="24" spans="1:25" x14ac:dyDescent="0.25">
      <c r="B24" s="227" t="s">
        <v>991</v>
      </c>
      <c r="C24" s="118">
        <v>43.337302910513969</v>
      </c>
      <c r="D24" s="118">
        <v>21.332511500012508</v>
      </c>
      <c r="E24" s="118">
        <v>23.095375748345187</v>
      </c>
      <c r="F24" s="118">
        <v>12.234809841128339</v>
      </c>
      <c r="G24" s="227"/>
      <c r="H24" s="227"/>
      <c r="I24" s="227"/>
      <c r="J24" s="227"/>
      <c r="K24" s="16"/>
      <c r="L24" s="16"/>
      <c r="M24" s="16"/>
    </row>
    <row r="25" spans="1:25" x14ac:dyDescent="0.25">
      <c r="A25" s="24"/>
      <c r="B25" s="85"/>
      <c r="C25" s="304"/>
      <c r="D25" s="304"/>
      <c r="E25" s="304"/>
      <c r="F25" s="304"/>
      <c r="G25" s="304"/>
      <c r="H25" s="304"/>
      <c r="I25" s="304"/>
      <c r="J25" s="304"/>
      <c r="K25" s="304"/>
      <c r="L25" s="304"/>
      <c r="M25" s="304"/>
      <c r="N25" s="304"/>
      <c r="O25" s="304"/>
      <c r="P25" s="304"/>
      <c r="Q25" s="304"/>
      <c r="R25" s="304"/>
      <c r="S25" s="304"/>
      <c r="T25" s="304"/>
      <c r="U25" s="304"/>
      <c r="V25" s="304"/>
      <c r="W25" s="304"/>
      <c r="X25" s="304"/>
      <c r="Y25" s="304"/>
    </row>
    <row r="26" spans="1:25" x14ac:dyDescent="0.25">
      <c r="A26" s="25"/>
      <c r="B26" s="26"/>
      <c r="C26" s="27"/>
      <c r="D26" s="27"/>
      <c r="E26" s="27"/>
      <c r="F26" s="27"/>
      <c r="G26" s="27"/>
      <c r="H26" s="27"/>
      <c r="I26" s="27"/>
      <c r="J26" s="27"/>
      <c r="K26" s="16"/>
      <c r="L26" s="16"/>
      <c r="M26" s="16"/>
    </row>
    <row r="27" spans="1:25" x14ac:dyDescent="0.25">
      <c r="A27" s="28" t="s">
        <v>1031</v>
      </c>
      <c r="B27" s="25"/>
      <c r="C27" s="19"/>
      <c r="D27" s="19"/>
      <c r="E27" s="19"/>
      <c r="F27" s="19"/>
      <c r="G27" s="19"/>
      <c r="H27" s="19"/>
      <c r="I27" s="19"/>
      <c r="J27" s="19"/>
    </row>
    <row r="28" spans="1:25" x14ac:dyDescent="0.25">
      <c r="A28" s="29" t="s">
        <v>1030</v>
      </c>
      <c r="B28" s="25"/>
      <c r="C28" s="19"/>
      <c r="D28" s="19"/>
      <c r="E28" s="19"/>
      <c r="F28" s="19"/>
      <c r="G28" s="19"/>
      <c r="H28" s="19"/>
      <c r="I28" s="19"/>
      <c r="J28" s="19"/>
      <c r="K28" s="16"/>
      <c r="L28" s="16"/>
      <c r="M28" s="16"/>
    </row>
    <row r="29" spans="1:25" x14ac:dyDescent="0.25">
      <c r="A29" s="15"/>
      <c r="B29" s="13"/>
      <c r="E29" s="16"/>
      <c r="F29" s="16"/>
      <c r="G29" s="16"/>
      <c r="H29" s="16"/>
      <c r="J29" s="16"/>
      <c r="K29" s="16"/>
      <c r="L29" s="16"/>
      <c r="M29" s="16"/>
    </row>
    <row r="30" spans="1:25" x14ac:dyDescent="0.25">
      <c r="A30" s="11"/>
      <c r="B30" s="12"/>
    </row>
    <row r="31" spans="1:25" x14ac:dyDescent="0.25">
      <c r="A31" s="11"/>
      <c r="B31" s="12"/>
      <c r="E31" s="16"/>
      <c r="F31" s="16"/>
      <c r="G31" s="16"/>
      <c r="H31" s="16"/>
      <c r="J31" s="16"/>
      <c r="K31" s="16"/>
      <c r="L31" s="16"/>
      <c r="M31" s="16"/>
    </row>
    <row r="32" spans="1:25" x14ac:dyDescent="0.25">
      <c r="A32" s="11"/>
      <c r="B32" s="12"/>
      <c r="E32" s="16"/>
      <c r="F32" s="16"/>
      <c r="G32" s="16"/>
      <c r="H32" s="16"/>
      <c r="J32" s="16"/>
      <c r="K32" s="16"/>
      <c r="L32" s="16"/>
      <c r="M32" s="16"/>
    </row>
    <row r="33" spans="1:13" x14ac:dyDescent="0.25">
      <c r="A33" s="11"/>
      <c r="B33" s="12"/>
      <c r="E33" s="16"/>
      <c r="F33" s="16"/>
      <c r="G33" s="16"/>
      <c r="H33" s="16"/>
      <c r="J33" s="16"/>
      <c r="K33" s="16"/>
      <c r="L33" s="16"/>
      <c r="M33" s="16"/>
    </row>
    <row r="34" spans="1:13" x14ac:dyDescent="0.25">
      <c r="A34" s="11"/>
      <c r="B34" s="12"/>
    </row>
    <row r="35" spans="1:13" x14ac:dyDescent="0.25">
      <c r="A35" s="11"/>
      <c r="B35" s="8"/>
      <c r="E35" s="16"/>
      <c r="F35" s="16"/>
      <c r="G35" s="16"/>
      <c r="H35" s="16"/>
      <c r="J35" s="16"/>
      <c r="K35" s="16"/>
      <c r="L35" s="16"/>
      <c r="M35" s="16"/>
    </row>
    <row r="36" spans="1:13" x14ac:dyDescent="0.25">
      <c r="A36" s="11"/>
      <c r="B36" s="12"/>
      <c r="E36" s="16"/>
      <c r="F36" s="16"/>
      <c r="G36" s="16"/>
      <c r="H36" s="16"/>
      <c r="J36" s="16"/>
      <c r="K36" s="16"/>
      <c r="L36" s="16"/>
      <c r="M36" s="16"/>
    </row>
    <row r="39" spans="1:13" x14ac:dyDescent="0.25">
      <c r="A39" s="8"/>
    </row>
  </sheetData>
  <mergeCells count="1">
    <mergeCell ref="G14:J14"/>
  </mergeCells>
  <hyperlinks>
    <hyperlink ref="A5" location="Índice!A1" display="Índice/Contents" xr:uid="{BD493896-D154-47CE-BE3D-84B6B5068B06}"/>
  </hyperlinks>
  <pageMargins left="0.7" right="0.7" top="0.75" bottom="0.75" header="0.3" footer="0.3"/>
  <pageSetup paperSize="9" orientation="portrait" horizontalDpi="1200" verticalDpi="1200"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F249-194B-4326-B946-08B029EB4775}">
  <sheetPr codeName="Sheet63">
    <tabColor theme="5" tint="0.89999084444715716"/>
  </sheetPr>
  <dimension ref="A5:AA34"/>
  <sheetViews>
    <sheetView showGridLines="0" showRowColHeaders="0" topLeftCell="B2" workbookViewId="0">
      <selection sqref="A1:XFD1048576"/>
    </sheetView>
  </sheetViews>
  <sheetFormatPr defaultRowHeight="15" x14ac:dyDescent="0.25"/>
  <cols>
    <col min="1" max="1" width="61.140625" customWidth="1"/>
    <col min="2" max="2" width="40.42578125" customWidth="1"/>
    <col min="3" max="3" width="19.5703125" customWidth="1"/>
    <col min="4" max="27" width="8.42578125" customWidth="1"/>
  </cols>
  <sheetData>
    <row r="5" spans="1:15" ht="36" customHeight="1" x14ac:dyDescent="0.25">
      <c r="A5" s="10" t="s">
        <v>3</v>
      </c>
    </row>
    <row r="6" spans="1:15" ht="18.75" x14ac:dyDescent="0.25">
      <c r="A6" s="6" t="s">
        <v>179</v>
      </c>
    </row>
    <row r="7" spans="1:15" x14ac:dyDescent="0.25">
      <c r="A7" s="78" t="str">
        <f>+Índice!A136</f>
        <v>Parte III. Políticas em análise: Juros e gestão da dívida pública em Portugal/Policy insights: Interest expenditure and public debt management in Portugal</v>
      </c>
    </row>
    <row r="8" spans="1:15" ht="18.75" x14ac:dyDescent="0.25">
      <c r="A8" s="6"/>
    </row>
    <row r="9" spans="1:15" x14ac:dyDescent="0.25">
      <c r="A9" s="7"/>
    </row>
    <row r="10" spans="1:15" x14ac:dyDescent="0.25">
      <c r="A10" t="s">
        <v>985</v>
      </c>
    </row>
    <row r="11" spans="1:15" x14ac:dyDescent="0.25">
      <c r="A11" s="8" t="s">
        <v>986</v>
      </c>
    </row>
    <row r="12" spans="1:15" x14ac:dyDescent="0.25">
      <c r="A12" s="8"/>
    </row>
    <row r="13" spans="1:15" x14ac:dyDescent="0.25">
      <c r="A13" s="8"/>
      <c r="C13" s="296" t="s">
        <v>2</v>
      </c>
      <c r="D13" s="417"/>
      <c r="E13" s="417"/>
      <c r="F13" s="417"/>
      <c r="G13" s="417"/>
    </row>
    <row r="14" spans="1:15" x14ac:dyDescent="0.25">
      <c r="A14" s="8"/>
      <c r="D14" s="300"/>
      <c r="E14" s="300"/>
      <c r="F14" s="300"/>
      <c r="G14" s="300"/>
    </row>
    <row r="15" spans="1:15" x14ac:dyDescent="0.25">
      <c r="A15" s="8"/>
      <c r="D15" s="117">
        <v>2015</v>
      </c>
      <c r="E15" s="117">
        <f t="shared" ref="E15:O15" si="0">+D15+1</f>
        <v>2016</v>
      </c>
      <c r="F15" s="117">
        <f t="shared" si="0"/>
        <v>2017</v>
      </c>
      <c r="G15" s="117">
        <f t="shared" si="0"/>
        <v>2018</v>
      </c>
      <c r="H15" s="117">
        <f t="shared" si="0"/>
        <v>2019</v>
      </c>
      <c r="I15" s="117">
        <f t="shared" si="0"/>
        <v>2020</v>
      </c>
      <c r="J15" s="117">
        <f t="shared" si="0"/>
        <v>2021</v>
      </c>
      <c r="K15" s="117">
        <f t="shared" si="0"/>
        <v>2022</v>
      </c>
      <c r="L15" s="117">
        <f t="shared" si="0"/>
        <v>2023</v>
      </c>
      <c r="M15" s="117">
        <f t="shared" si="0"/>
        <v>2024</v>
      </c>
      <c r="N15" s="117">
        <f t="shared" si="0"/>
        <v>2025</v>
      </c>
      <c r="O15" s="117">
        <f t="shared" si="0"/>
        <v>2026</v>
      </c>
    </row>
    <row r="16" spans="1:15" x14ac:dyDescent="0.25">
      <c r="A16" s="24" t="s">
        <v>984</v>
      </c>
      <c r="B16" t="s">
        <v>979</v>
      </c>
      <c r="C16" s="296" t="s">
        <v>4</v>
      </c>
      <c r="D16" s="16">
        <v>3.5813887580044752</v>
      </c>
      <c r="E16" s="16">
        <v>3.2827266283514338</v>
      </c>
      <c r="F16" s="16">
        <v>3.0169447017836872</v>
      </c>
      <c r="G16" s="16">
        <v>2.7925615304167701</v>
      </c>
      <c r="H16" s="16">
        <v>2.5371849932099151</v>
      </c>
      <c r="I16" s="16">
        <v>2.3149683471512437</v>
      </c>
      <c r="J16" s="16">
        <v>1.9190380299221903</v>
      </c>
      <c r="K16" s="16">
        <v>1.7333298648402573</v>
      </c>
      <c r="L16" s="16">
        <v>2.1111882344174933</v>
      </c>
      <c r="M16" s="16">
        <v>2.4278582649963298</v>
      </c>
      <c r="N16" s="16">
        <v>2.4921729391223391</v>
      </c>
      <c r="O16" s="16">
        <v>2.5502568739810272</v>
      </c>
    </row>
    <row r="17" spans="1:27" x14ac:dyDescent="0.25">
      <c r="A17" s="24" t="s">
        <v>983</v>
      </c>
      <c r="B17" t="s">
        <v>980</v>
      </c>
      <c r="C17" s="296" t="s">
        <v>4</v>
      </c>
      <c r="D17" s="16">
        <v>3.2854506538623114</v>
      </c>
      <c r="E17" s="16">
        <v>3.001001850607151</v>
      </c>
      <c r="F17" s="16">
        <v>2.8029080855596695</v>
      </c>
      <c r="G17" s="16">
        <v>2.5543427117082507</v>
      </c>
      <c r="H17" s="16">
        <v>2.2761292933422261</v>
      </c>
      <c r="I17" s="16">
        <v>1.966561436855196</v>
      </c>
      <c r="J17" s="16">
        <v>1.6842987197545032</v>
      </c>
      <c r="K17" s="16">
        <v>1.4395871049458848</v>
      </c>
      <c r="L17" s="16">
        <v>1.4201991522004238</v>
      </c>
      <c r="M17" s="16">
        <v>1.78131507278976</v>
      </c>
      <c r="N17" s="16">
        <v>1.997298407266821</v>
      </c>
      <c r="O17" s="16">
        <v>2.0738204040867334</v>
      </c>
    </row>
    <row r="18" spans="1:27" x14ac:dyDescent="0.25">
      <c r="A18" s="24" t="s">
        <v>982</v>
      </c>
      <c r="B18" t="s">
        <v>981</v>
      </c>
      <c r="C18" s="296" t="s">
        <v>4</v>
      </c>
      <c r="D18" s="227">
        <v>0.19190069684121283</v>
      </c>
      <c r="E18" s="227">
        <v>0.24681228027944996</v>
      </c>
      <c r="F18" s="227">
        <v>0.17574404669812452</v>
      </c>
      <c r="G18" s="227">
        <v>0.11287408908109341</v>
      </c>
      <c r="H18" s="227">
        <v>3.4236590515626469E-2</v>
      </c>
      <c r="I18" s="227">
        <v>1.8504911426896843E-2</v>
      </c>
      <c r="J18" s="227">
        <v>5.3320715831252363E-4</v>
      </c>
      <c r="K18" s="227">
        <v>0.22976979325461327</v>
      </c>
      <c r="L18" s="227">
        <v>0.47281169099015641</v>
      </c>
      <c r="M18" s="16">
        <v>0.56316727241501208</v>
      </c>
      <c r="N18" s="16">
        <v>0.44172776455210216</v>
      </c>
      <c r="O18" s="16">
        <v>0.42457953686257827</v>
      </c>
    </row>
    <row r="19" spans="1:27" x14ac:dyDescent="0.25">
      <c r="A19" s="24" t="s">
        <v>67</v>
      </c>
      <c r="B19" t="s">
        <v>68</v>
      </c>
      <c r="C19" s="296" t="s">
        <v>4</v>
      </c>
      <c r="D19" s="227">
        <v>0.10403740730095112</v>
      </c>
      <c r="E19" s="227">
        <v>3.4912497464832715E-2</v>
      </c>
      <c r="F19" s="227">
        <v>3.8292569525893327E-2</v>
      </c>
      <c r="G19" s="227">
        <v>0.12534472962742615</v>
      </c>
      <c r="H19" s="227">
        <v>0.2268191093520624</v>
      </c>
      <c r="I19" s="227">
        <v>0.32990199886915073</v>
      </c>
      <c r="J19" s="227">
        <v>0.2342061030093745</v>
      </c>
      <c r="K19" s="227">
        <v>6.3972966639759266E-2</v>
      </c>
      <c r="L19" s="227">
        <v>0.21817739122691315</v>
      </c>
      <c r="M19" s="16">
        <v>8.3375919791557784E-2</v>
      </c>
      <c r="N19" s="16">
        <v>5.3146767303415832E-2</v>
      </c>
      <c r="O19" s="16">
        <v>5.1856933031715347E-2</v>
      </c>
    </row>
    <row r="20" spans="1:27" x14ac:dyDescent="0.25">
      <c r="A20" s="23"/>
      <c r="B20" s="24"/>
      <c r="C20" s="24"/>
      <c r="D20" s="85"/>
      <c r="E20" s="304"/>
      <c r="F20" s="304"/>
      <c r="G20" s="304"/>
      <c r="H20" s="304"/>
      <c r="I20" s="304"/>
      <c r="J20" s="304"/>
      <c r="K20" s="304"/>
      <c r="L20" s="304"/>
      <c r="M20" s="304"/>
      <c r="N20" s="304"/>
      <c r="O20" s="304"/>
      <c r="P20" s="304"/>
      <c r="Q20" s="304"/>
      <c r="R20" s="304"/>
      <c r="S20" s="304"/>
      <c r="T20" s="304"/>
      <c r="U20" s="304"/>
      <c r="V20" s="304"/>
      <c r="W20" s="304"/>
      <c r="X20" s="304"/>
      <c r="Y20" s="304"/>
      <c r="Z20" s="304"/>
      <c r="AA20" s="304"/>
    </row>
    <row r="21" spans="1:27" x14ac:dyDescent="0.25">
      <c r="A21" s="25"/>
      <c r="B21" s="26"/>
      <c r="C21" s="26"/>
      <c r="D21" s="27"/>
      <c r="E21" s="27"/>
      <c r="F21" s="27"/>
      <c r="G21" s="27"/>
      <c r="H21" s="27"/>
      <c r="I21" s="27"/>
      <c r="J21" s="27"/>
      <c r="K21" s="27"/>
      <c r="L21" s="16"/>
      <c r="M21" s="16"/>
      <c r="N21" s="16"/>
    </row>
    <row r="22" spans="1:27" x14ac:dyDescent="0.25">
      <c r="A22" s="28" t="s">
        <v>1032</v>
      </c>
      <c r="B22" s="25"/>
      <c r="C22" s="25"/>
      <c r="D22" s="19"/>
      <c r="E22" s="19"/>
      <c r="F22" s="19"/>
      <c r="G22" s="19"/>
      <c r="H22" s="19"/>
      <c r="I22" s="19"/>
      <c r="J22" s="19"/>
      <c r="K22" s="19"/>
    </row>
    <row r="23" spans="1:27" x14ac:dyDescent="0.25">
      <c r="A23" s="29" t="s">
        <v>1033</v>
      </c>
      <c r="B23" s="25"/>
      <c r="C23" s="25"/>
      <c r="D23" s="19"/>
      <c r="E23" s="19"/>
      <c r="F23" s="19"/>
      <c r="G23" s="19"/>
      <c r="H23" s="19"/>
      <c r="I23" s="19"/>
      <c r="J23" s="19"/>
      <c r="K23" s="19"/>
      <c r="L23" s="16"/>
      <c r="M23" s="16"/>
      <c r="N23" s="16"/>
    </row>
    <row r="24" spans="1:27" x14ac:dyDescent="0.25">
      <c r="A24" s="15"/>
      <c r="B24" s="13"/>
      <c r="C24" s="13"/>
      <c r="F24" s="16"/>
      <c r="G24" s="16"/>
      <c r="H24" s="16"/>
      <c r="I24" s="16"/>
      <c r="K24" s="16"/>
      <c r="L24" s="16"/>
      <c r="M24" s="16"/>
      <c r="N24" s="16"/>
    </row>
    <row r="25" spans="1:27" x14ac:dyDescent="0.25">
      <c r="A25" s="11"/>
      <c r="B25" s="12"/>
      <c r="C25" s="12"/>
    </row>
    <row r="26" spans="1:27" x14ac:dyDescent="0.25">
      <c r="A26" s="11"/>
      <c r="B26" s="12"/>
      <c r="C26" s="12"/>
      <c r="F26" s="16"/>
      <c r="G26" s="16"/>
      <c r="H26" s="16"/>
      <c r="I26" s="16"/>
      <c r="K26" s="16"/>
      <c r="L26" s="16"/>
      <c r="M26" s="16"/>
      <c r="N26" s="16"/>
    </row>
    <row r="27" spans="1:27" x14ac:dyDescent="0.25">
      <c r="A27" s="11"/>
      <c r="B27" s="12"/>
      <c r="C27" s="12"/>
      <c r="F27" s="16"/>
      <c r="G27" s="16"/>
      <c r="H27" s="16"/>
      <c r="I27" s="16"/>
      <c r="K27" s="16"/>
      <c r="L27" s="16"/>
      <c r="M27" s="16"/>
      <c r="N27" s="16"/>
    </row>
    <row r="28" spans="1:27" x14ac:dyDescent="0.25">
      <c r="A28" s="11"/>
      <c r="B28" s="12"/>
      <c r="C28" s="12"/>
      <c r="F28" s="16"/>
      <c r="G28" s="16"/>
      <c r="H28" s="16"/>
      <c r="I28" s="16"/>
      <c r="K28" s="16"/>
      <c r="L28" s="16"/>
      <c r="M28" s="16"/>
      <c r="N28" s="16"/>
    </row>
    <row r="29" spans="1:27" x14ac:dyDescent="0.25">
      <c r="A29" s="11"/>
      <c r="B29" s="12"/>
      <c r="C29" s="12"/>
    </row>
    <row r="30" spans="1:27" x14ac:dyDescent="0.25">
      <c r="A30" s="11"/>
      <c r="B30" s="8"/>
      <c r="C30" s="8"/>
      <c r="F30" s="16"/>
      <c r="G30" s="16"/>
      <c r="H30" s="16"/>
      <c r="I30" s="16"/>
      <c r="K30" s="16"/>
      <c r="L30" s="16"/>
      <c r="M30" s="16"/>
      <c r="N30" s="16"/>
    </row>
    <row r="31" spans="1:27" x14ac:dyDescent="0.25">
      <c r="A31" s="11"/>
      <c r="B31" s="12"/>
      <c r="C31" s="12"/>
      <c r="F31" s="16"/>
      <c r="G31" s="16"/>
      <c r="H31" s="16"/>
      <c r="I31" s="16"/>
      <c r="K31" s="16"/>
      <c r="L31" s="16"/>
      <c r="M31" s="16"/>
      <c r="N31" s="16"/>
    </row>
    <row r="34" spans="1:1" x14ac:dyDescent="0.25">
      <c r="A34" s="8"/>
    </row>
  </sheetData>
  <mergeCells count="2">
    <mergeCell ref="D13:E13"/>
    <mergeCell ref="F13:G13"/>
  </mergeCells>
  <hyperlinks>
    <hyperlink ref="A5" location="Índice!A1" display="Índice/Contents" xr:uid="{D45740A2-3465-4C56-BBAF-BCA0C1510205}"/>
  </hyperlink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66</vt:i4>
      </vt:variant>
    </vt:vector>
  </HeadingPairs>
  <TitlesOfParts>
    <vt:vector size="66" baseType="lpstr">
      <vt:lpstr>Capa</vt:lpstr>
      <vt:lpstr>Índice</vt:lpstr>
      <vt:lpstr>QI.1.1</vt:lpstr>
      <vt:lpstr>GI.1.1</vt:lpstr>
      <vt:lpstr>GI.1.2</vt:lpstr>
      <vt:lpstr>GI.1.3</vt:lpstr>
      <vt:lpstr>GI.1.4</vt:lpstr>
      <vt:lpstr>GI.1.5</vt:lpstr>
      <vt:lpstr>GI.1.6</vt:lpstr>
      <vt:lpstr>GI.1.7</vt:lpstr>
      <vt:lpstr>GC.1.1</vt:lpstr>
      <vt:lpstr>GC.1.2</vt:lpstr>
      <vt:lpstr>QC.1.1</vt:lpstr>
      <vt:lpstr>GC.2.1</vt:lpstr>
      <vt:lpstr>GC.2.2</vt:lpstr>
      <vt:lpstr>GC.2.3</vt:lpstr>
      <vt:lpstr>QC.2.1</vt:lpstr>
      <vt:lpstr>GC.3.1</vt:lpstr>
      <vt:lpstr>GC.3.2</vt:lpstr>
      <vt:lpstr>GC.3.3</vt:lpstr>
      <vt:lpstr>QC.3.1</vt:lpstr>
      <vt:lpstr>GI.2.1</vt:lpstr>
      <vt:lpstr>GI.2.2</vt:lpstr>
      <vt:lpstr>GI.2.3</vt:lpstr>
      <vt:lpstr>GI.2.4</vt:lpstr>
      <vt:lpstr>GI.2.5</vt:lpstr>
      <vt:lpstr>GI.2.6</vt:lpstr>
      <vt:lpstr>GI.2.7</vt:lpstr>
      <vt:lpstr>GI.2.8</vt:lpstr>
      <vt:lpstr>GI.2.9</vt:lpstr>
      <vt:lpstr>GC.5.1</vt:lpstr>
      <vt:lpstr>QC.5.1</vt:lpstr>
      <vt:lpstr>GC.6.1</vt:lpstr>
      <vt:lpstr>GC.6.2</vt:lpstr>
      <vt:lpstr>GC.6.3</vt:lpstr>
      <vt:lpstr>GC.7.1</vt:lpstr>
      <vt:lpstr>GC.7.2</vt:lpstr>
      <vt:lpstr>GC.7.3</vt:lpstr>
      <vt:lpstr>GC.7.4</vt:lpstr>
      <vt:lpstr>TED.G1</vt:lpstr>
      <vt:lpstr>TED.G2</vt:lpstr>
      <vt:lpstr>TED.Q1</vt:lpstr>
      <vt:lpstr>TED.G3</vt:lpstr>
      <vt:lpstr>TED.G4</vt:lpstr>
      <vt:lpstr>TED.G5</vt:lpstr>
      <vt:lpstr>TED.G6</vt:lpstr>
      <vt:lpstr>TED.G7</vt:lpstr>
      <vt:lpstr>TED.G8</vt:lpstr>
      <vt:lpstr>TED.Q2</vt:lpstr>
      <vt:lpstr>TED.G9</vt:lpstr>
      <vt:lpstr>TED.G10</vt:lpstr>
      <vt:lpstr>TED.C.G1</vt:lpstr>
      <vt:lpstr>TED.C.G2</vt:lpstr>
      <vt:lpstr>TED.C.G3</vt:lpstr>
      <vt:lpstr>TED.C.G4</vt:lpstr>
      <vt:lpstr>TED.C.Q1</vt:lpstr>
      <vt:lpstr>PEA.G1</vt:lpstr>
      <vt:lpstr>PEA.G2</vt:lpstr>
      <vt:lpstr>PEA.G3</vt:lpstr>
      <vt:lpstr>PEA.G4</vt:lpstr>
      <vt:lpstr>PEA.G5</vt:lpstr>
      <vt:lpstr>PEA.G6</vt:lpstr>
      <vt:lpstr>PEA.G7</vt:lpstr>
      <vt:lpstr>PEA.G8</vt:lpstr>
      <vt:lpstr>PEA.G9</vt:lpstr>
      <vt:lpstr>PEA.G10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2024-07-02T16:19:52Z</dcterms:created>
  <dcterms:modified xsi:type="dcterms:W3CDTF">2024-07-02T16:22:12Z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8c5530-11f9-46b8-ae24-a6fa3e935062_Enabled">
    <vt:lpwstr>true</vt:lpwstr>
  </property>
  <property fmtid="{D5CDD505-2E9C-101B-9397-08002B2CF9AE}" pid="3" name="MSIP_Label_ac8c5530-11f9-46b8-ae24-a6fa3e935062_SetDate">
    <vt:lpwstr>2024-07-02T16:22:12Z</vt:lpwstr>
  </property>
  <property fmtid="{D5CDD505-2E9C-101B-9397-08002B2CF9AE}" pid="4" name="MSIP_Label_ac8c5530-11f9-46b8-ae24-a6fa3e935062_Method">
    <vt:lpwstr>Standard</vt:lpwstr>
  </property>
  <property fmtid="{D5CDD505-2E9C-101B-9397-08002B2CF9AE}" pid="5" name="MSIP_Label_ac8c5530-11f9-46b8-ae24-a6fa3e935062_Name">
    <vt:lpwstr>Mail Merge</vt:lpwstr>
  </property>
  <property fmtid="{D5CDD505-2E9C-101B-9397-08002B2CF9AE}" pid="6" name="MSIP_Label_ac8c5530-11f9-46b8-ae24-a6fa3e935062_SiteId">
    <vt:lpwstr>f92c299d-3d5a-4621-abd4-755e52e5161d</vt:lpwstr>
  </property>
  <property fmtid="{D5CDD505-2E9C-101B-9397-08002B2CF9AE}" pid="7" name="MSIP_Label_ac8c5530-11f9-46b8-ae24-a6fa3e935062_ActionId">
    <vt:lpwstr>399b28a4-fbee-48a7-938b-2aa7040161f0</vt:lpwstr>
  </property>
  <property fmtid="{D5CDD505-2E9C-101B-9397-08002B2CF9AE}" pid="8" name="MSIP_Label_ac8c5530-11f9-46b8-ae24-a6fa3e935062_ContentBits">
    <vt:lpwstr>0</vt:lpwstr>
  </property>
</Properties>
</file>